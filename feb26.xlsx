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allstreetdocs-my.sharepoint.com/personal/rahima_akter_wsd_com/Documents/"/>
    </mc:Choice>
  </mc:AlternateContent>
  <xr:revisionPtr revIDLastSave="0" documentId="8_{9FECE088-F05A-4416-A775-BB303CA89B8C}" xr6:coauthVersionLast="47" xr6:coauthVersionMax="47" xr10:uidLastSave="{00000000-0000-0000-0000-000000000000}"/>
  <bookViews>
    <workbookView xWindow="-108" yWindow="-108" windowWidth="23256" windowHeight="12456" xr2:uid="{071B0289-6092-4661-B399-D107787A3250}"/>
  </bookViews>
  <sheets>
    <sheet name="test feb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V11" i="1" l="1"/>
  <c r="CB11" i="1"/>
  <c r="AG11" i="1" a="1"/>
  <c r="AG11" i="1" s="1"/>
  <c r="AE11" i="1" a="1"/>
  <c r="AE11" i="1" s="1"/>
  <c r="Y11" i="1"/>
  <c r="R11" i="1"/>
  <c r="GW11" i="1" s="1"/>
  <c r="Q11" i="1"/>
  <c r="P11" i="1"/>
  <c r="O11" i="1"/>
  <c r="N11" i="1"/>
  <c r="G11" i="1"/>
  <c r="GV10" i="1"/>
  <c r="CB10" i="1"/>
  <c r="AG10" i="1" a="1"/>
  <c r="AG10" i="1" s="1"/>
  <c r="AE10" i="1" a="1"/>
  <c r="AE10" i="1" s="1"/>
  <c r="Y10" i="1"/>
  <c r="R10" i="1"/>
  <c r="GW10" i="1" s="1"/>
  <c r="Q10" i="1"/>
  <c r="P10" i="1"/>
  <c r="O10" i="1"/>
  <c r="N10" i="1"/>
  <c r="G10" i="1"/>
  <c r="GW9" i="1"/>
  <c r="GV9" i="1"/>
  <c r="CB9" i="1"/>
  <c r="AG9" i="1" a="1"/>
  <c r="AG9" i="1" s="1"/>
  <c r="AE9" i="1" a="1"/>
  <c r="AE9" i="1" s="1"/>
  <c r="Y9" i="1"/>
  <c r="R9" i="1"/>
  <c r="Q9" i="1"/>
  <c r="P9" i="1"/>
  <c r="O9" i="1"/>
  <c r="N9" i="1"/>
  <c r="G9" i="1"/>
  <c r="GW8" i="1"/>
  <c r="GV8" i="1"/>
  <c r="CB8" i="1"/>
  <c r="Y8" i="1" s="1"/>
  <c r="AG8" i="1" a="1"/>
  <c r="AG8" i="1" s="1"/>
  <c r="AE8" i="1"/>
  <c r="AE8" i="1" a="1"/>
  <c r="R8" i="1"/>
  <c r="Q8" i="1"/>
  <c r="P8" i="1"/>
  <c r="O8" i="1"/>
  <c r="N8" i="1"/>
  <c r="G8" i="1"/>
  <c r="GW7" i="1"/>
  <c r="GV7" i="1"/>
  <c r="CB7" i="1"/>
  <c r="Y7" i="1" s="1"/>
  <c r="AG7" i="1"/>
  <c r="AG7" i="1" a="1"/>
  <c r="AE7" i="1" a="1"/>
  <c r="AE7" i="1" s="1"/>
  <c r="R7" i="1"/>
  <c r="Q7" i="1"/>
  <c r="P7" i="1"/>
  <c r="O7" i="1"/>
  <c r="N7" i="1"/>
  <c r="G7" i="1"/>
  <c r="GW6" i="1"/>
  <c r="GV6" i="1"/>
  <c r="CB6" i="1"/>
  <c r="AG6" i="1" a="1"/>
  <c r="AG6" i="1" s="1"/>
  <c r="AE6" i="1" a="1"/>
  <c r="AE6" i="1" s="1"/>
  <c r="Y6" i="1"/>
  <c r="R6" i="1"/>
  <c r="Q6" i="1"/>
  <c r="P6" i="1"/>
  <c r="O6" i="1"/>
  <c r="N6" i="1"/>
  <c r="G6" i="1"/>
  <c r="GV5" i="1"/>
  <c r="CB5" i="1"/>
  <c r="AG5" i="1" a="1"/>
  <c r="AG5" i="1" s="1"/>
  <c r="AE5" i="1" a="1"/>
  <c r="AE5" i="1" s="1"/>
  <c r="Y5" i="1"/>
  <c r="R5" i="1"/>
  <c r="GW5" i="1" s="1"/>
  <c r="Q5" i="1"/>
  <c r="P5" i="1"/>
  <c r="O5" i="1"/>
  <c r="N5" i="1"/>
  <c r="G5" i="1"/>
  <c r="GV4" i="1"/>
  <c r="CB4" i="1"/>
  <c r="AG4" i="1" a="1"/>
  <c r="AG4" i="1" s="1"/>
  <c r="AE4" i="1" a="1"/>
  <c r="AE4" i="1" s="1"/>
  <c r="Y4" i="1"/>
  <c r="R4" i="1"/>
  <c r="GW4" i="1" s="1"/>
  <c r="Q4" i="1"/>
  <c r="P4" i="1"/>
  <c r="O4" i="1"/>
  <c r="N4" i="1"/>
  <c r="G4" i="1"/>
  <c r="GW3" i="1"/>
  <c r="GV3" i="1"/>
  <c r="CB3" i="1"/>
  <c r="AG3" i="1" a="1"/>
  <c r="AG3" i="1" s="1"/>
  <c r="AE3" i="1" a="1"/>
  <c r="AE3" i="1" s="1"/>
  <c r="Y3" i="1"/>
  <c r="R3" i="1"/>
  <c r="Q3" i="1"/>
  <c r="P3" i="1"/>
  <c r="O3" i="1"/>
  <c r="N3" i="1"/>
  <c r="G3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IX2" i="1"/>
  <c r="IW2" i="1"/>
  <c r="IL2" i="1"/>
  <c r="IK2" i="1"/>
  <c r="HZ2" i="1"/>
  <c r="HY2" i="1"/>
  <c r="HN2" i="1"/>
  <c r="HM2" i="1"/>
  <c r="HK2" i="1"/>
  <c r="HI2" i="1"/>
  <c r="HH2" i="1"/>
  <c r="HG2" i="1"/>
  <c r="HF2" i="1"/>
  <c r="HE2" i="1"/>
  <c r="HD2" i="1"/>
  <c r="HC2" i="1"/>
  <c r="HB2" i="1"/>
  <c r="HA2" i="1"/>
  <c r="GZ2" i="1"/>
  <c r="GY2" i="1"/>
  <c r="GX2" i="1"/>
  <c r="GV2" i="1"/>
  <c r="BZ2" i="1"/>
  <c r="JE2" i="1" s="1"/>
  <c r="BY2" i="1"/>
  <c r="JD2" i="1" s="1"/>
  <c r="BX2" i="1"/>
  <c r="JC2" i="1" s="1"/>
  <c r="BW2" i="1"/>
  <c r="JB2" i="1" s="1"/>
  <c r="BV2" i="1"/>
  <c r="JA2" i="1" s="1"/>
  <c r="BU2" i="1"/>
  <c r="IZ2" i="1" s="1"/>
  <c r="BT2" i="1"/>
  <c r="IY2" i="1" s="1"/>
  <c r="BS2" i="1"/>
  <c r="BR2" i="1"/>
  <c r="BQ2" i="1"/>
  <c r="IV2" i="1" s="1"/>
  <c r="BP2" i="1"/>
  <c r="IU2" i="1" s="1"/>
  <c r="BO2" i="1"/>
  <c r="IT2" i="1" s="1"/>
  <c r="BN2" i="1"/>
  <c r="IS2" i="1" s="1"/>
  <c r="BM2" i="1"/>
  <c r="IR2" i="1" s="1"/>
  <c r="BL2" i="1"/>
  <c r="IQ2" i="1" s="1"/>
  <c r="BK2" i="1"/>
  <c r="IP2" i="1" s="1"/>
  <c r="BJ2" i="1"/>
  <c r="IO2" i="1" s="1"/>
  <c r="BI2" i="1"/>
  <c r="IN2" i="1" s="1"/>
  <c r="BH2" i="1"/>
  <c r="IM2" i="1" s="1"/>
  <c r="BG2" i="1"/>
  <c r="BF2" i="1"/>
  <c r="BE2" i="1"/>
  <c r="IJ2" i="1" s="1"/>
  <c r="BD2" i="1"/>
  <c r="II2" i="1" s="1"/>
  <c r="BC2" i="1"/>
  <c r="IH2" i="1" s="1"/>
  <c r="BB2" i="1"/>
  <c r="IG2" i="1" s="1"/>
  <c r="BA2" i="1"/>
  <c r="IF2" i="1" s="1"/>
  <c r="AZ2" i="1"/>
  <c r="IE2" i="1" s="1"/>
  <c r="AY2" i="1"/>
  <c r="ID2" i="1" s="1"/>
  <c r="AX2" i="1"/>
  <c r="IC2" i="1" s="1"/>
  <c r="AW2" i="1"/>
  <c r="IB2" i="1" s="1"/>
  <c r="AV2" i="1"/>
  <c r="IA2" i="1" s="1"/>
  <c r="AU2" i="1"/>
  <c r="AT2" i="1"/>
  <c r="AS2" i="1"/>
  <c r="HX2" i="1" s="1"/>
  <c r="AR2" i="1"/>
  <c r="HW2" i="1" s="1"/>
  <c r="AQ2" i="1"/>
  <c r="HV2" i="1" s="1"/>
  <c r="AP2" i="1"/>
  <c r="HU2" i="1" s="1"/>
  <c r="AO2" i="1"/>
  <c r="HT2" i="1" s="1"/>
  <c r="AN2" i="1"/>
  <c r="HS2" i="1" s="1"/>
  <c r="AM2" i="1"/>
  <c r="HR2" i="1" s="1"/>
  <c r="AL2" i="1"/>
  <c r="HQ2" i="1" s="1"/>
  <c r="AK2" i="1"/>
  <c r="HP2" i="1" s="1"/>
  <c r="AJ2" i="1"/>
  <c r="HO2" i="1" s="1"/>
  <c r="AI2" i="1"/>
  <c r="AG2" i="1" a="1"/>
  <c r="AG2" i="1" s="1"/>
  <c r="HL2" i="1" s="1"/>
  <c r="AE2" i="1" a="1"/>
  <c r="AE2" i="1" s="1"/>
  <c r="HJ2" i="1" s="1"/>
  <c r="Y2" i="1"/>
  <c r="R2" i="1"/>
  <c r="GW2" i="1" s="1"/>
  <c r="Q2" i="1"/>
  <c r="P2" i="1"/>
  <c r="O2" i="1"/>
  <c r="N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<sst xmlns="http://schemas.openxmlformats.org/spreadsheetml/2006/main" count="447" uniqueCount="336">
  <si>
    <t>number</t>
  </si>
  <si>
    <t>global_identifier</t>
  </si>
  <si>
    <t>date_filed</t>
  </si>
  <si>
    <t>cusip</t>
  </si>
  <si>
    <t>isin</t>
  </si>
  <si>
    <t>issuer</t>
  </si>
  <si>
    <t>distributor</t>
  </si>
  <si>
    <t>initial_valuation_date</t>
  </si>
  <si>
    <t>initial_valuation_dates</t>
  </si>
  <si>
    <t>multiple_initial_valuation_dates_style</t>
  </si>
  <si>
    <t>multiple_initial_valuation_dates_interval</t>
  </si>
  <si>
    <t>multiple_initial_valuation_dates_first_date</t>
  </si>
  <si>
    <t>multiple_initial_valuation_dates_last_date</t>
  </si>
  <si>
    <t>issue_date</t>
  </si>
  <si>
    <t>trade_date</t>
  </si>
  <si>
    <t>offering_closes</t>
  </si>
  <si>
    <t>strike_date</t>
  </si>
  <si>
    <t>final_valuation_date</t>
  </si>
  <si>
    <t>final_valuation_dates</t>
  </si>
  <si>
    <t>multiple_final_valuation_dates_style</t>
  </si>
  <si>
    <t>multiple_final_valuation_dates_interval</t>
  </si>
  <si>
    <t>multiple_final_valuation_dates_first_date</t>
  </si>
  <si>
    <t>multiple_final_valuation_dates_last_date</t>
  </si>
  <si>
    <t>maturity_date</t>
  </si>
  <si>
    <t>principal_amount</t>
  </si>
  <si>
    <t>aggregate_principal_amount_type</t>
  </si>
  <si>
    <t>proportional_principal_amount</t>
  </si>
  <si>
    <t>investment_type</t>
  </si>
  <si>
    <t>document_type</t>
  </si>
  <si>
    <t>product_type</t>
  </si>
  <si>
    <t>product_subtype</t>
  </si>
  <si>
    <t>fixed_income_type</t>
  </si>
  <si>
    <t>underlying_ticker</t>
  </si>
  <si>
    <t>multiple_underlyings</t>
  </si>
  <si>
    <t>basket_weightings_unequal</t>
  </si>
  <si>
    <t>coupon_applies</t>
  </si>
  <si>
    <t>contingent_coupon_applies</t>
  </si>
  <si>
    <t>memory_coupon_applies</t>
  </si>
  <si>
    <t>coupon_interval</t>
  </si>
  <si>
    <t>coupon_roll_date</t>
  </si>
  <si>
    <t>generate_coupon_observation_dates_first</t>
  </si>
  <si>
    <t>coupon_first_observation_date</t>
  </si>
  <si>
    <t>coupon_last_observation_date</t>
  </si>
  <si>
    <t>coupon_first_date</t>
  </si>
  <si>
    <t>coupon_last_date</t>
  </si>
  <si>
    <t>coupon_observation_date_offset</t>
  </si>
  <si>
    <t>coupon_barrier</t>
  </si>
  <si>
    <t>coupon_rate</t>
  </si>
  <si>
    <t>coupon_rate_per_payment_date</t>
  </si>
  <si>
    <t>minimum_coupon_rate</t>
  </si>
  <si>
    <t>maximum_coupon_rate</t>
  </si>
  <si>
    <t>coupon_schedule</t>
  </si>
  <si>
    <t>coupon_step_up_down_initial_amount</t>
  </si>
  <si>
    <t>coupon_step_up_down_step_amount</t>
  </si>
  <si>
    <t>coupon_step_up_down_frequency</t>
  </si>
  <si>
    <t>coupon_barrier_step_up_down_initial_amount</t>
  </si>
  <si>
    <t>coupon_barrier_step_up_down_step_amount</t>
  </si>
  <si>
    <t>coupon_barrier_step_up_down_frequency</t>
  </si>
  <si>
    <t>initial_guaranteed_fixed_coupon_applies</t>
  </si>
  <si>
    <t>initial_guaranteed_fixed_coupon</t>
  </si>
  <si>
    <t>initial_guaranteed_fixed_coupon_interval</t>
  </si>
  <si>
    <t>initial_guaranteed_fixed_coupon_roll_date</t>
  </si>
  <si>
    <t>initial_guaranteed_fixed_coupon_first_date</t>
  </si>
  <si>
    <t>initial_guaranteed_fixed_coupon_last_date</t>
  </si>
  <si>
    <t>initial_guaranteed_fixed_coupon_observation_date_offset</t>
  </si>
  <si>
    <t>initial_guaranteed_fixed_coupon_rate</t>
  </si>
  <si>
    <t>initial_guaranteed_fixed_coupon_rate_per_payment__date_</t>
  </si>
  <si>
    <t>base_rate_</t>
  </si>
  <si>
    <t>second_base_rate_if_applicable</t>
  </si>
  <si>
    <t>base_rate_maturity</t>
  </si>
  <si>
    <t>second_base_rate_maturity_if_applicable</t>
  </si>
  <si>
    <t>base_rate_currency</t>
  </si>
  <si>
    <t>second_base_rate_currency_</t>
  </si>
  <si>
    <t>multiplier</t>
  </si>
  <si>
    <t>spread</t>
  </si>
  <si>
    <t>interest___cap</t>
  </si>
  <si>
    <t>interest___floor_</t>
  </si>
  <si>
    <t>end_of_fixed_rate_period</t>
  </si>
  <si>
    <t>end_of_floating_rate_period</t>
  </si>
  <si>
    <t>redemption_notes</t>
  </si>
  <si>
    <t>issuer_call_applies</t>
  </si>
  <si>
    <t>issuer_call_interval</t>
  </si>
  <si>
    <t>issuer_call_roll_date</t>
  </si>
  <si>
    <t>generate_issuer_call_payment_dates_first_</t>
  </si>
  <si>
    <t>issuer_call_first_payment_date</t>
  </si>
  <si>
    <t>issuer_call_last_payment_date</t>
  </si>
  <si>
    <t>issuer_call_first_date</t>
  </si>
  <si>
    <t>issuer_call_last_date</t>
  </si>
  <si>
    <t>issuer_call_settlement_date_offset</t>
  </si>
  <si>
    <t>issuer_call_exercise_offset</t>
  </si>
  <si>
    <t>issuer_call_schedule</t>
  </si>
  <si>
    <t>issuer_call_step_up_down_initial_amout</t>
  </si>
  <si>
    <t>issuer_call_step_up_down_step_amount</t>
  </si>
  <si>
    <t>issuer_call_step_up_down_frequency</t>
  </si>
  <si>
    <t>autocall_applies</t>
  </si>
  <si>
    <t>autocall_interval</t>
  </si>
  <si>
    <t>autocall_roll_date</t>
  </si>
  <si>
    <t>generate_call_payment_dates_first</t>
  </si>
  <si>
    <t>autocall_first_payment_date</t>
  </si>
  <si>
    <t>autocall_last_payment_date</t>
  </si>
  <si>
    <t>autocall_first_date</t>
  </si>
  <si>
    <t>autocall_last_date</t>
  </si>
  <si>
    <t>autocall_settlement_date_offset</t>
  </si>
  <si>
    <t>autocall_barrier</t>
  </si>
  <si>
    <t>call_schedule</t>
  </si>
  <si>
    <t>autocall_step_up_down_initial_amount</t>
  </si>
  <si>
    <t>autocall_step_up_down_step_amount</t>
  </si>
  <si>
    <t>autocall_step_up_down_frequency</t>
  </si>
  <si>
    <t>autocall_step_up_down_barrier_initial_amount</t>
  </si>
  <si>
    <t>autocall_step_up_down_barrier_step_amount</t>
  </si>
  <si>
    <t>autocall_step_up_down_barrier_step_frequency</t>
  </si>
  <si>
    <t>call_strike_level</t>
  </si>
  <si>
    <t>digital_strike_level</t>
  </si>
  <si>
    <t>put_strike_level</t>
  </si>
  <si>
    <t>buffer_level</t>
  </si>
  <si>
    <t>knock_in_barrier</t>
  </si>
  <si>
    <t>knock_in_barrier_event_type</t>
  </si>
  <si>
    <t>knock_in_barrier_event_observation_type</t>
  </si>
  <si>
    <t>product_description</t>
  </si>
  <si>
    <t>pricing_supplement_url</t>
  </si>
  <si>
    <t>sales_concession</t>
  </si>
  <si>
    <t>proceeds_to_issuer</t>
  </si>
  <si>
    <t>issue_price</t>
  </si>
  <si>
    <t>structuring_fee</t>
  </si>
  <si>
    <t>estimated_value</t>
  </si>
  <si>
    <t>currency</t>
  </si>
  <si>
    <t>upside_style</t>
  </si>
  <si>
    <t>additional_upside_style</t>
  </si>
  <si>
    <t>upside_participation_rate</t>
  </si>
  <si>
    <t>digital_amount</t>
  </si>
  <si>
    <t>downside_digital_amount</t>
  </si>
  <si>
    <t>downside_style</t>
  </si>
  <si>
    <t>downside_participation_rate</t>
  </si>
  <si>
    <t>floor</t>
  </si>
  <si>
    <t>cap</t>
  </si>
  <si>
    <t>minimum_payout</t>
  </si>
  <si>
    <t>maximumpayout</t>
  </si>
  <si>
    <t>twin_win_downside_participation_rate</t>
  </si>
  <si>
    <t>deminimis_amount</t>
  </si>
  <si>
    <t>knock_out_barrier_event_applies_to</t>
  </si>
  <si>
    <t>knock_out_barrier_level</t>
  </si>
  <si>
    <t>knock_out_barrier_event_type</t>
  </si>
  <si>
    <t>knock_out_barrier_event_observation_type</t>
  </si>
  <si>
    <t>knock_out_result</t>
  </si>
  <si>
    <t>rebate_redemption_amount_relative</t>
  </si>
  <si>
    <t>settlement_type</t>
  </si>
  <si>
    <t>day_count</t>
  </si>
  <si>
    <t>asset_class</t>
  </si>
  <si>
    <t>investment_or_leveraged</t>
  </si>
  <si>
    <t>trading_jurisdiction</t>
  </si>
  <si>
    <t>distribution_category</t>
  </si>
  <si>
    <t>distributor_group</t>
  </si>
  <si>
    <t>issuer_group</t>
  </si>
  <si>
    <t>distributor_category</t>
  </si>
  <si>
    <t>provider_type</t>
  </si>
  <si>
    <t>all_filing_dates</t>
  </si>
  <si>
    <t>live_or_not</t>
  </si>
  <si>
    <t>underlying_sector</t>
  </si>
  <si>
    <t>counsel</t>
  </si>
  <si>
    <t>crediting_method</t>
  </si>
  <si>
    <t>ryder</t>
  </si>
  <si>
    <t>hedge_provider</t>
  </si>
  <si>
    <t>internal_notes</t>
  </si>
  <si>
    <t>offered_by</t>
  </si>
  <si>
    <t>annuity_category</t>
  </si>
  <si>
    <t>annuity_carrier</t>
  </si>
  <si>
    <t>annuity_bonus</t>
  </si>
  <si>
    <t>wrapper_group</t>
  </si>
  <si>
    <t>sustainability</t>
  </si>
  <si>
    <t>coupon_barrier_observation_type</t>
  </si>
  <si>
    <t>coupon_barrier_event_type</t>
  </si>
  <si>
    <t>coupon_upper_barrier_level</t>
  </si>
  <si>
    <t>coupon_lower_barrier_level</t>
  </si>
  <si>
    <t>coupon_type</t>
  </si>
  <si>
    <t>coupon_settlement_style</t>
  </si>
  <si>
    <t>coupon_strike_level</t>
  </si>
  <si>
    <t>coupon_participation_rate</t>
  </si>
  <si>
    <t>coupon_participation_maximum_amount</t>
  </si>
  <si>
    <t>performance_coupon_multiple_underlyings</t>
  </si>
  <si>
    <t>range_accrual_reference_asset_type</t>
  </si>
  <si>
    <t>range_accrual_underlying_tickers</t>
  </si>
  <si>
    <t>business_day_convention</t>
  </si>
  <si>
    <t>cln_recovery_type</t>
  </si>
  <si>
    <t>cln_timing_of_recovery_payment</t>
  </si>
  <si>
    <t>cln_recovery_rate</t>
  </si>
  <si>
    <t>cln_event_observation_start_date</t>
  </si>
  <si>
    <t>cln_event_observation_end_date</t>
  </si>
  <si>
    <t>cln_event_observation_end_date_extendable</t>
  </si>
  <si>
    <t>cln_recovery_redemption_date_day_offset</t>
  </si>
  <si>
    <t>cln_unwind_costs_apply</t>
  </si>
  <si>
    <t>cln_calculation_agent</t>
  </si>
  <si>
    <t>cln_reference_asset_basket_type</t>
  </si>
  <si>
    <t>cln_reference_obligation_entity_name</t>
  </si>
  <si>
    <t>cln_reference_obligation_isin</t>
  </si>
  <si>
    <t>cln_reference_obligation_credit_rating</t>
  </si>
  <si>
    <t>cln_standard_reference_obligation_isin</t>
  </si>
  <si>
    <t>cln_credit_events</t>
  </si>
  <si>
    <t>knock_in_barrier_reference_asset_type_</t>
  </si>
  <si>
    <t>knock_out_upper_barrier_level</t>
  </si>
  <si>
    <t>knock_out_lower_barrier_level</t>
  </si>
  <si>
    <t>leveraged_product_strike_level_absolute</t>
  </si>
  <si>
    <t>leveraged_product_exercise_style</t>
  </si>
  <si>
    <t>leveraged_product_automatic_exercise</t>
  </si>
  <si>
    <t>leveraged_product_exercise_period_start_date</t>
  </si>
  <si>
    <t>leveraged_product_exercise_period_end_date</t>
  </si>
  <si>
    <t>leveraged_product_multiplier</t>
  </si>
  <si>
    <t>leveraged_product_knock_out_barrier_level_absolute</t>
  </si>
  <si>
    <t>leveraged_product_stop_loss_level_absolute</t>
  </si>
  <si>
    <t>leveraged_product_reset_level_absolute</t>
  </si>
  <si>
    <t>current_financing_level_absolute</t>
  </si>
  <si>
    <t>leveraged_product_target_leverage_factor</t>
  </si>
  <si>
    <t>put_strike_reference_asset_type</t>
  </si>
  <si>
    <t>call_strike_reference_asset_type</t>
  </si>
  <si>
    <t>send_to_connexor</t>
  </si>
  <si>
    <t>digital_upper_strike_level_absolute</t>
  </si>
  <si>
    <t>digital_lower_strike_level_absolute</t>
  </si>
  <si>
    <t>issue_call_notice_period_in_days</t>
  </si>
  <si>
    <t>downside_digital_strike_level</t>
  </si>
  <si>
    <t>issuer_custom_identifier</t>
  </si>
  <si>
    <t>leveraged_product_knock_out_upper_barrier_level_absolute</t>
  </si>
  <si>
    <t>leveraged_product_knock_out_lower_barrier_level_absolute</t>
  </si>
  <si>
    <t>dropback_initial_cash_allocation</t>
  </si>
  <si>
    <t>dropback_initial_reference_asset_allocation</t>
  </si>
  <si>
    <t>dropback_trigger_event_type</t>
  </si>
  <si>
    <t>dropback_trigger_event_observation_type</t>
  </si>
  <si>
    <t>dropback_reinvestment_trigger_barrier_levels</t>
  </si>
  <si>
    <t>dropback_reinvestment_allocation_weightings</t>
  </si>
  <si>
    <t>coupon_base_rate</t>
  </si>
  <si>
    <t>coupon_second_base_rate</t>
  </si>
  <si>
    <t>coupon_interest_cap</t>
  </si>
  <si>
    <t>coupon_interest_floor</t>
  </si>
  <si>
    <t>coupon_base_rate_multiplier</t>
  </si>
  <si>
    <t>autocall_type</t>
  </si>
  <si>
    <t>autocall_settlement_style</t>
  </si>
  <si>
    <t>autocall_strike_level</t>
  </si>
  <si>
    <t>autocall_participation_rate</t>
  </si>
  <si>
    <t>autocall_participation_maximum_amount</t>
  </si>
  <si>
    <t>trading_method_units</t>
  </si>
  <si>
    <t>issue_price_absolute</t>
  </si>
  <si>
    <t>put_strike_level_absolute</t>
  </si>
  <si>
    <t>cap_level_absolute</t>
  </si>
  <si>
    <t>digital_strike_level_absolute</t>
  </si>
  <si>
    <t>digital_amount_absolute</t>
  </si>
  <si>
    <t>call_strike_level_absolute</t>
  </si>
  <si>
    <t>maximum_payout_absolute</t>
  </si>
  <si>
    <t>issue_ratio</t>
  </si>
  <si>
    <t>knock_in_barrier_level_absolute</t>
  </si>
  <si>
    <t>knock_in_barrier_event_observation_start_date</t>
  </si>
  <si>
    <t>inflation_determination_date_offset_1</t>
  </si>
  <si>
    <t>inflation_determination_date_offset_2</t>
  </si>
  <si>
    <t>credit_event_transaction_type</t>
  </si>
  <si>
    <t>instalment_date</t>
  </si>
  <si>
    <t>instalment_amount</t>
  </si>
  <si>
    <t>instalment_redemption_amount_reduction_percentage</t>
  </si>
  <si>
    <t>determination_date_base</t>
  </si>
  <si>
    <t>determination_date_offset</t>
  </si>
  <si>
    <t>exchange_codes</t>
  </si>
  <si>
    <t>wholesaler</t>
  </si>
  <si>
    <t>dcc_base_currency</t>
  </si>
  <si>
    <t>dcc_reference_currency</t>
  </si>
  <si>
    <t>dcc_conversion_event_type</t>
  </si>
  <si>
    <t>dcc_conversion_types</t>
  </si>
  <si>
    <t>dcc_strike_rate</t>
  </si>
  <si>
    <t>multi_range_result_types</t>
  </si>
  <si>
    <t>multi_range_barrier_event_observation_types</t>
  </si>
  <si>
    <t>multi_range_barrier_event_types_1</t>
  </si>
  <si>
    <t>multi_range_results_1</t>
  </si>
  <si>
    <t>multi_range_barrier_level_1</t>
  </si>
  <si>
    <t>multi_range_upper_barrier_level_1</t>
  </si>
  <si>
    <t>multi_range_lower_barrier_level_1</t>
  </si>
  <si>
    <t>multi_range_digital_amount_1</t>
  </si>
  <si>
    <t>multi_range_barrier_event_types_2</t>
  </si>
  <si>
    <t>multi_range_results_2</t>
  </si>
  <si>
    <t>multi_range_barrier_level_2</t>
  </si>
  <si>
    <t>multi_range_upper_barrier_level_2</t>
  </si>
  <si>
    <t>multi_range_lower_barrier_level_2</t>
  </si>
  <si>
    <t>multi_range_digital_amount_2</t>
  </si>
  <si>
    <t>multi_range_barrier_event_types_3</t>
  </si>
  <si>
    <t>multi_range_results_3</t>
  </si>
  <si>
    <t>multi_range_barrier_level_3</t>
  </si>
  <si>
    <t>multi_range_upper_barrier_level_3</t>
  </si>
  <si>
    <t>multi_range_lower_barrier_level_3</t>
  </si>
  <si>
    <t>multi_range_digital_amount_3</t>
  </si>
  <si>
    <t>multi_range_barrier_event_types_4</t>
  </si>
  <si>
    <t>multi_range_results_4</t>
  </si>
  <si>
    <t>multi_range_barrier_level_4</t>
  </si>
  <si>
    <t>multi_range_upper_barrier_level_4</t>
  </si>
  <si>
    <t>multi_range_lower_barrier_level_5</t>
  </si>
  <si>
    <t>multi_range_digital_amount_5</t>
  </si>
  <si>
    <t>multi_range_barrier_event_types_5</t>
  </si>
  <si>
    <t>multi_range_results_5</t>
  </si>
  <si>
    <t>multi_range_barrier_level_5</t>
  </si>
  <si>
    <t>multi_range_upper_barrier_level_5</t>
  </si>
  <si>
    <t>multi_range_lower_barrier_level_4</t>
  </si>
  <si>
    <t>multi_range_digital_amount_4</t>
  </si>
  <si>
    <t>range_accrual_barrier_level_absolute</t>
  </si>
  <si>
    <t>range_accrual_upper_barrier_level_absolute</t>
  </si>
  <si>
    <t>range_accrual_lower_barrier_level_absolute</t>
  </si>
  <si>
    <t>generate_json_only</t>
  </si>
  <si>
    <t>expiry_observation_date</t>
  </si>
  <si>
    <t>expiry_payment_date</t>
  </si>
  <si>
    <t>created_at</t>
  </si>
  <si>
    <t>updated_at</t>
  </si>
  <si>
    <t>BAM01C2608A</t>
  </si>
  <si>
    <t>Bualuang Securities Public Company Limited</t>
  </si>
  <si>
    <t>20/02/2026</t>
  </si>
  <si>
    <t>13/08/2026</t>
  </si>
  <si>
    <t>Actual</t>
  </si>
  <si>
    <t xml:space="preserve">Warrant </t>
  </si>
  <si>
    <t>Final</t>
  </si>
  <si>
    <t xml:space="preserve">Growth </t>
  </si>
  <si>
    <t xml:space="preserve">20000000*0.625 </t>
  </si>
  <si>
    <t>DERIVATIVE CALL WARRANTS ON BANGKOK COMMERCIAL ASSET MANAGEMENT PUBLIC COMPANY LIMITED ISSUED BY BUALUANG SECURITIES PUBLIC COMPANY LIMITED LAST TRADING IN AUGUST 2026 # A</t>
  </si>
  <si>
    <t>TBH</t>
  </si>
  <si>
    <t>Cash</t>
  </si>
  <si>
    <t>Leveraged Product</t>
  </si>
  <si>
    <t>TH</t>
  </si>
  <si>
    <t>European</t>
  </si>
  <si>
    <t>CPALL01C2608A</t>
  </si>
  <si>
    <t>DERIVATIVE CALL WARRANTS ON CP ALL PUBLIC COMPANY LIMITED ISSUED BY BUALUANG SECURITIES PUBLIC COMPANY LIMITED LAST TRADING IN AUGUST 2026 # A</t>
  </si>
  <si>
    <t>BTS01C2608A</t>
  </si>
  <si>
    <t>DERIVATIVE CALL WARRANTS ON BTS GROUP HOLDINGS PUBLIC COMPANY LIMITED ISSUED BY BUALUANG SECURITIES PUBLIC COMPANY LIMITED LAST TRADING IN AUGUST 2026 # A</t>
  </si>
  <si>
    <t>GLOBAL01C2608A</t>
  </si>
  <si>
    <t>DERIVATIVE CALL WARRANTS ON SIAM GLOBAL HOUSE PUBLIC COMPANY LIMITED ISSUED BY BUALUANG SECURITIES PUBLIC COMPANY LIMITED LAST TRADING IN AUGUST 2026 # A</t>
  </si>
  <si>
    <t>BEM01C2608A</t>
  </si>
  <si>
    <t>DERIVATIVE CALL WARRANTS ON BANGKOK EXPRESSWAY AND METRO  PUBLIC COMPANY LIMITED ISSUED BY BUALUANG SECURITIES PUBLIC COMPANY LIMITED LAST TRADING IN AUGUST 2026 # A</t>
  </si>
  <si>
    <t>CPF01P2608A</t>
  </si>
  <si>
    <t>DERIVATIVE PUT WARRANTS ON CHAROEN POKPHAND FOODS PUBLIC COMPANY LIMITED ISSUED BY BUALUANG SECURITIES PUBLIC COMPANY LIMITED LAST TRADING IN AUGUST 2026 # A</t>
  </si>
  <si>
    <t>BCP01C2608A</t>
  </si>
  <si>
    <t>DERIVATIVE CALL WARRANTS ON BANGCHAK CORPORATION PUBLIC COMPANY LIMITED ISSUED BY BUALUANG SECURITIES PUBLIC COMPANY LIMITED LAST TRADING IN AUGUST 2026 # A</t>
  </si>
  <si>
    <t>CPALL01P2608A</t>
  </si>
  <si>
    <t>DERIVATIVE PUT WARRANTS ON CP ALL PUBLIC COMPANY LIMITED ISSUED BY BUALUANG SECURITIES PUBLIC COMPANY LIMITED LAST TRADING IN AUGUST 2026 # A</t>
  </si>
  <si>
    <t>GPSC01C2608A</t>
  </si>
  <si>
    <t>DERIVATIVE CALL WARRANTS ON GLOBAL POWER SYNERGY PUBLIC COMPANY LIMITED ISSUED BY BUALUANG SECURITIES PUBLIC COMPANY LIMITED LAST TRADING IN AUGUST 2026 # A</t>
  </si>
  <si>
    <t>KBANK01C2608A</t>
  </si>
  <si>
    <t>DERIVATIVE CALL WARRANTS ON KASIKORNBANK PUBLIC COMPANY LIMITED ISSUED BY BUALUANG SECURITIES PUBLIC COMPANY LIMITED LAST TRADING IN AUGUST 2026 #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</si>
</sst>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&quot;T&quot;hh:mm:ss&quot;Z&quot;"/>
  </numFmts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164" fontId="0" fillId="2" borderId="1" xfId="0" applyNumberFormat="1" applyFill="1" applyBorder="1"/>
    <xf numFmtId="9" fontId="1" fillId="2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3" fontId="1" fillId="2" borderId="1" xfId="0" applyNumberFormat="1" applyFont="1" applyFill="1" applyBorder="1"/>
    <xf numFmtId="15" fontId="1" fillId="2" borderId="1" xfId="0" applyNumberFormat="1" applyFont="1" applyFill="1" applyBorder="1"/>
    <xf numFmtId="4" fontId="0" fillId="2" borderId="1" xfId="0" applyNumberFormat="1" applyFill="1" applyBorder="1"/>
    <xf numFmtId="164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5B93-2D60-4243-A480-0AD20703838E}">
  <sheetPr codeName="Sheet8"/>
  <dimension ref="A1:KQ271"/>
  <sheetViews>
    <sheetView tabSelected="1" workbookViewId="0">
      <pane xSplit="2" ySplit="1" topLeftCell="E2" activePane="bottomRight" state="frozen"/>
      <selection pane="topRight" activeCell="D1" sqref="D1"/>
      <selection pane="bottomLeft" activeCell="A3" sqref="A3"/>
      <selection pane="bottomRight" activeCell="E232" sqref="E232"/>
    </sheetView>
  </sheetViews>
  <sheetFormatPr defaultRowHeight="14.4"/>
  <cols>
    <col min="1" max="1" width="8.88671875" style="1"/>
    <col min="2" max="2" width="19.109375" style="1" customWidth="1"/>
    <col min="3" max="4" width="0" style="1" hidden="1" customWidth="1"/>
    <col min="5" max="5" width="18.33203125" style="1" customWidth="1"/>
    <col min="6" max="6" width="57.88671875" style="2" customWidth="1"/>
    <col min="7" max="7" width="44.44140625" style="1" customWidth="1"/>
    <col min="8" max="8" width="20.77734375" style="3" customWidth="1"/>
    <col min="9" max="9" width="19.33203125" style="3" hidden="1" customWidth="1"/>
    <col min="10" max="12" width="0" style="3" hidden="1" customWidth="1"/>
    <col min="13" max="13" width="17.44140625" style="3" hidden="1" customWidth="1"/>
    <col min="14" max="14" width="20.33203125" style="3" customWidth="1"/>
    <col min="15" max="15" width="22" style="3" customWidth="1"/>
    <col min="16" max="16" width="28.5546875" style="3" customWidth="1"/>
    <col min="17" max="17" width="24.109375" style="3" customWidth="1"/>
    <col min="18" max="18" width="24" style="3" customWidth="1"/>
    <col min="19" max="19" width="19.44140625" style="1" hidden="1" customWidth="1"/>
    <col min="20" max="23" width="0" style="1" hidden="1" customWidth="1"/>
    <col min="24" max="24" width="20.6640625" style="3" customWidth="1"/>
    <col min="25" max="25" width="23.5546875" style="4" customWidth="1"/>
    <col min="26" max="26" width="32.6640625" style="1" customWidth="1"/>
    <col min="27" max="27" width="26.33203125" style="1" customWidth="1"/>
    <col min="28" max="28" width="21.88671875" style="1" customWidth="1"/>
    <col min="29" max="29" width="18.33203125" style="1" customWidth="1"/>
    <col min="30" max="30" width="14.6640625" style="1" customWidth="1"/>
    <col min="31" max="31" width="17.88671875" style="1" customWidth="1"/>
    <col min="32" max="32" width="0" style="1" hidden="1" customWidth="1"/>
    <col min="33" max="33" width="50.109375" style="5" customWidth="1"/>
    <col min="34" max="34" width="72.44140625" style="1" hidden="1" customWidth="1"/>
    <col min="35" max="79" width="21.33203125" style="1" hidden="1" customWidth="1"/>
    <col min="80" max="80" width="29.109375" style="4" customWidth="1"/>
    <col min="81" max="118" width="21.33203125" style="1" hidden="1" customWidth="1"/>
    <col min="119" max="119" width="159.109375" style="2" customWidth="1"/>
    <col min="120" max="122" width="8.88671875" style="1" hidden="1" customWidth="1"/>
    <col min="123" max="123" width="23.109375" style="1" customWidth="1"/>
    <col min="124" max="125" width="8.88671875" style="1" hidden="1" customWidth="1"/>
    <col min="126" max="126" width="8.88671875" style="1"/>
    <col min="127" max="145" width="0" style="1" hidden="1" customWidth="1"/>
    <col min="146" max="146" width="8.88671875" style="1"/>
    <col min="147" max="148" width="0" style="1" hidden="1" customWidth="1"/>
    <col min="149" max="149" width="24.33203125" style="1" customWidth="1"/>
    <col min="150" max="150" width="20" style="1" customWidth="1"/>
    <col min="151" max="200" width="0" style="1" hidden="1" customWidth="1"/>
    <col min="201" max="201" width="40" style="6" customWidth="1"/>
    <col min="202" max="202" width="16" style="1" customWidth="1"/>
    <col min="203" max="203" width="0" style="1" hidden="1" customWidth="1"/>
    <col min="204" max="204" width="41.6640625" style="3" customWidth="1"/>
    <col min="205" max="205" width="32.5546875" style="3" customWidth="1"/>
    <col min="206" max="298" width="0" style="1" hidden="1" customWidth="1"/>
    <col min="299" max="299" width="24.44140625" style="1" customWidth="1"/>
    <col min="300" max="301" width="8.88671875" style="1"/>
    <col min="302" max="302" width="21" style="1" customWidth="1"/>
    <col min="303" max="303" width="21.44140625" style="1" customWidth="1"/>
    <col min="304" max="16384" width="8.88671875" style="1"/>
  </cols>
  <sheetData>
    <row r="1" spans="1:3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5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4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2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6" t="s">
        <v>200</v>
      </c>
      <c r="GT1" s="1" t="s">
        <v>201</v>
      </c>
      <c r="GU1" s="1" t="s">
        <v>202</v>
      </c>
      <c r="GV1" s="3" t="s">
        <v>203</v>
      </c>
      <c r="GW1" s="3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</row>
    <row r="2" spans="1:303">
      <c r="A2" s="1">
        <v>1</v>
      </c>
      <c r="B2" s="1" t="s">
        <v>303</v>
      </c>
      <c r="F2" s="7" t="s">
        <v>304</v>
      </c>
      <c r="G2" s="1" t="str">
        <f t="shared" ref="G2:G65" si="0">F2</f>
        <v>Bualuang Securities Public Company Limited</v>
      </c>
      <c r="H2" s="8" t="s">
        <v>305</v>
      </c>
      <c r="N2" s="3" t="str">
        <f t="shared" ref="N2:N65" si="1">H2</f>
        <v>20/02/2026</v>
      </c>
      <c r="O2" s="3" t="str">
        <f t="shared" ref="O2:O65" si="2">H2</f>
        <v>20/02/2026</v>
      </c>
      <c r="P2" s="3" t="e">
        <f>DATEVALUE(_xlfn.TEXTBEFORE(H2,"T"))-1</f>
        <v>#N/A</v>
      </c>
      <c r="Q2" s="3" t="str">
        <f t="shared" ref="Q2:Q65" si="3">H2</f>
        <v>20/02/2026</v>
      </c>
      <c r="R2" s="9" t="e">
        <f>DATEVALUE(_xlfn.TEXTBEFORE(X2,"T"))-5</f>
        <v>#N/A</v>
      </c>
      <c r="X2" s="3" t="s">
        <v>306</v>
      </c>
      <c r="Y2" s="4">
        <f t="shared" ref="Y2:Y65" si="4">VALUE(_xlfn.TEXTBEFORE(CB2,"*"))*VALUE(_xlfn.TEXTAFTER(CB2,"*"))</f>
        <v>12500000</v>
      </c>
      <c r="Z2" s="1" t="s">
        <v>307</v>
      </c>
      <c r="AA2" s="1">
        <v>1</v>
      </c>
      <c r="AB2" s="1" t="s">
        <v>308</v>
      </c>
      <c r="AC2" s="1" t="s">
        <v>309</v>
      </c>
      <c r="AD2" s="1" t="s">
        <v>310</v>
      </c>
      <c r="AE2" s="1" t="str" cm="1">
        <f t="array" ref="AE2">_xlfn.IFS(
   ISNUMBER(SEARCH("Call Warrant",DO2)),"Call Warrant",
   ISNUMBER(SEARCH("Put Warrant",DO2)),"Put Warrant"
)</f>
        <v>Call Warrant</v>
      </c>
      <c r="AG2" s="5" t="str" cm="1">
        <f t="array" ref="AG2">_xlfn.LET(
    _xlpm.prefix,IFERROR(LEFT(B2,MIN(FIND({0,1,2,3,4,5,6,7,8,9},B2&amp;"0123456789"))-1),B2),
    IF(_xlpm.prefix="COM","COM 7 TB Equity",
    IF(_xlpm.prefix="HSI",_xlpm.prefix &amp; " Index",
    IF(_xlpm.prefix="NDX",_xlpm.prefix &amp; " Index",
    _xlpm.prefix &amp; " TB Equity")))
)</f>
        <v>BAM TB Equity</v>
      </c>
      <c r="AI2" s="1" t="e">
        <f t="shared" ref="AI2:BZ2" si="5">TRIM(
    MID(
        DP2,
        FIND("ON ",DP2)+3,
        FIND(" ISSUED",DP2) - (FIND("ON ",DP2)+3)
    )
)</f>
        <v>#VALUE!</v>
      </c>
      <c r="AJ2" s="1" t="e">
        <f t="shared" si="5"/>
        <v>#VALUE!</v>
      </c>
      <c r="AK2" s="1" t="e">
        <f t="shared" si="5"/>
        <v>#VALUE!</v>
      </c>
      <c r="AL2" s="1" t="e">
        <f t="shared" si="5"/>
        <v>#VALUE!</v>
      </c>
      <c r="AM2" s="1" t="e">
        <f t="shared" si="5"/>
        <v>#VALUE!</v>
      </c>
      <c r="AN2" s="1" t="e">
        <f t="shared" si="5"/>
        <v>#VALUE!</v>
      </c>
      <c r="AO2" s="1" t="e">
        <f t="shared" si="5"/>
        <v>#VALUE!</v>
      </c>
      <c r="AP2" s="1" t="e">
        <f t="shared" si="5"/>
        <v>#VALUE!</v>
      </c>
      <c r="AQ2" s="1" t="e">
        <f t="shared" si="5"/>
        <v>#VALUE!</v>
      </c>
      <c r="AR2" s="1" t="e">
        <f t="shared" si="5"/>
        <v>#VALUE!</v>
      </c>
      <c r="AS2" s="1" t="e">
        <f t="shared" si="5"/>
        <v>#VALUE!</v>
      </c>
      <c r="AT2" s="1" t="e">
        <f t="shared" si="5"/>
        <v>#VALUE!</v>
      </c>
      <c r="AU2" s="1" t="e">
        <f t="shared" si="5"/>
        <v>#VALUE!</v>
      </c>
      <c r="AV2" s="1" t="e">
        <f t="shared" si="5"/>
        <v>#VALUE!</v>
      </c>
      <c r="AW2" s="1" t="e">
        <f t="shared" si="5"/>
        <v>#VALUE!</v>
      </c>
      <c r="AX2" s="1" t="e">
        <f t="shared" si="5"/>
        <v>#VALUE!</v>
      </c>
      <c r="AY2" s="1" t="e">
        <f t="shared" si="5"/>
        <v>#VALUE!</v>
      </c>
      <c r="AZ2" s="1" t="e">
        <f t="shared" si="5"/>
        <v>#VALUE!</v>
      </c>
      <c r="BA2" s="1" t="e">
        <f t="shared" si="5"/>
        <v>#VALUE!</v>
      </c>
      <c r="BB2" s="1" t="e">
        <f t="shared" si="5"/>
        <v>#VALUE!</v>
      </c>
      <c r="BC2" s="1" t="e">
        <f t="shared" si="5"/>
        <v>#VALUE!</v>
      </c>
      <c r="BD2" s="1" t="e">
        <f t="shared" si="5"/>
        <v>#VALUE!</v>
      </c>
      <c r="BE2" s="1" t="e">
        <f t="shared" si="5"/>
        <v>#VALUE!</v>
      </c>
      <c r="BF2" s="1" t="e">
        <f t="shared" si="5"/>
        <v>#VALUE!</v>
      </c>
      <c r="BG2" s="1" t="e">
        <f t="shared" si="5"/>
        <v>#VALUE!</v>
      </c>
      <c r="BH2" s="1" t="e">
        <f t="shared" si="5"/>
        <v>#VALUE!</v>
      </c>
      <c r="BI2" s="1" t="e">
        <f t="shared" si="5"/>
        <v>#VALUE!</v>
      </c>
      <c r="BJ2" s="1" t="e">
        <f t="shared" si="5"/>
        <v>#VALUE!</v>
      </c>
      <c r="BK2" s="1" t="e">
        <f t="shared" si="5"/>
        <v>#VALUE!</v>
      </c>
      <c r="BL2" s="1" t="e">
        <f t="shared" si="5"/>
        <v>#VALUE!</v>
      </c>
      <c r="BM2" s="1" t="e">
        <f t="shared" si="5"/>
        <v>#VALUE!</v>
      </c>
      <c r="BN2" s="1" t="e">
        <f t="shared" si="5"/>
        <v>#VALUE!</v>
      </c>
      <c r="BO2" s="1" t="e">
        <f t="shared" si="5"/>
        <v>#VALUE!</v>
      </c>
      <c r="BP2" s="1" t="e">
        <f t="shared" si="5"/>
        <v>#VALUE!</v>
      </c>
      <c r="BQ2" s="1" t="e">
        <f t="shared" si="5"/>
        <v>#VALUE!</v>
      </c>
      <c r="BR2" s="1" t="e">
        <f t="shared" si="5"/>
        <v>#VALUE!</v>
      </c>
      <c r="BS2" s="1" t="e">
        <f t="shared" si="5"/>
        <v>#VALUE!</v>
      </c>
      <c r="BT2" s="1" t="e">
        <f t="shared" si="5"/>
        <v>#VALUE!</v>
      </c>
      <c r="BU2" s="1" t="e">
        <f t="shared" si="5"/>
        <v>#VALUE!</v>
      </c>
      <c r="BV2" s="1" t="e">
        <f t="shared" si="5"/>
        <v>#VALUE!</v>
      </c>
      <c r="BW2" s="1" t="e">
        <f t="shared" si="5"/>
        <v>#VALUE!</v>
      </c>
      <c r="BX2" s="1" t="e">
        <f t="shared" si="5"/>
        <v>#VALUE!</v>
      </c>
      <c r="BY2" s="1" t="e">
        <f t="shared" si="5"/>
        <v>#VALUE!</v>
      </c>
      <c r="BZ2" s="1" t="e">
        <f t="shared" si="5"/>
        <v>#VALUE!</v>
      </c>
      <c r="CB2" s="4" t="s">
        <v>311</v>
      </c>
      <c r="DO2" s="2" t="s">
        <v>312</v>
      </c>
      <c r="DS2" s="10">
        <v>1</v>
      </c>
      <c r="DV2" s="1" t="s">
        <v>313</v>
      </c>
      <c r="EP2" s="1" t="s">
        <v>314</v>
      </c>
      <c r="EQ2" s="1" t="s">
        <v>314</v>
      </c>
      <c r="ER2" s="1" t="s">
        <v>314</v>
      </c>
      <c r="ES2" s="1" t="s">
        <v>315</v>
      </c>
      <c r="ET2" s="1" t="s">
        <v>316</v>
      </c>
      <c r="GS2" s="11"/>
      <c r="GT2" s="1" t="s">
        <v>317</v>
      </c>
      <c r="GU2" s="1" t="s">
        <v>317</v>
      </c>
      <c r="GV2" s="3" t="str">
        <f t="shared" ref="GV2:GV65" si="6">H2</f>
        <v>20/02/2026</v>
      </c>
      <c r="GW2" s="3" t="e">
        <f t="shared" ref="GW2:HL65" si="7">R2</f>
        <v>#N/A</v>
      </c>
      <c r="GX2" s="3">
        <f t="shared" si="7"/>
        <v>0</v>
      </c>
      <c r="GY2" s="3">
        <f t="shared" si="7"/>
        <v>0</v>
      </c>
      <c r="GZ2" s="3">
        <f t="shared" si="7"/>
        <v>0</v>
      </c>
      <c r="HA2" s="3">
        <f t="shared" si="7"/>
        <v>0</v>
      </c>
      <c r="HB2" s="3">
        <f t="shared" si="7"/>
        <v>0</v>
      </c>
      <c r="HC2" s="3" t="str">
        <f t="shared" si="7"/>
        <v>13/08/2026</v>
      </c>
      <c r="HD2" s="3">
        <f t="shared" si="7"/>
        <v>12500000</v>
      </c>
      <c r="HE2" s="3" t="str">
        <f t="shared" si="7"/>
        <v>Actual</v>
      </c>
      <c r="HF2" s="3">
        <f t="shared" si="7"/>
        <v>1</v>
      </c>
      <c r="HG2" s="3" t="str">
        <f t="shared" si="7"/>
        <v xml:space="preserve">Warrant </v>
      </c>
      <c r="HH2" s="3" t="str">
        <f t="shared" si="7"/>
        <v>Final</v>
      </c>
      <c r="HI2" s="3" t="str">
        <f t="shared" si="7"/>
        <v xml:space="preserve">Growth </v>
      </c>
      <c r="HJ2" s="3" t="str">
        <f t="shared" si="7"/>
        <v>Call Warrant</v>
      </c>
      <c r="HK2" s="3">
        <f t="shared" si="7"/>
        <v>0</v>
      </c>
      <c r="HL2" s="3" t="str">
        <f t="shared" si="7"/>
        <v>BAM TB Equity</v>
      </c>
      <c r="HM2" s="3">
        <f t="shared" ref="HM2:JX2" si="8">AH2</f>
        <v>0</v>
      </c>
      <c r="HN2" s="3" t="e">
        <f t="shared" si="8"/>
        <v>#VALUE!</v>
      </c>
      <c r="HO2" s="3" t="e">
        <f t="shared" si="8"/>
        <v>#VALUE!</v>
      </c>
      <c r="HP2" s="3" t="e">
        <f t="shared" si="8"/>
        <v>#VALUE!</v>
      </c>
      <c r="HQ2" s="3" t="e">
        <f t="shared" si="8"/>
        <v>#VALUE!</v>
      </c>
      <c r="HR2" s="3" t="e">
        <f t="shared" si="8"/>
        <v>#VALUE!</v>
      </c>
      <c r="HS2" s="3" t="e">
        <f t="shared" si="8"/>
        <v>#VALUE!</v>
      </c>
      <c r="HT2" s="3" t="e">
        <f t="shared" si="8"/>
        <v>#VALUE!</v>
      </c>
      <c r="HU2" s="3" t="e">
        <f t="shared" si="8"/>
        <v>#VALUE!</v>
      </c>
      <c r="HV2" s="3" t="e">
        <f t="shared" si="8"/>
        <v>#VALUE!</v>
      </c>
      <c r="HW2" s="3" t="e">
        <f t="shared" si="8"/>
        <v>#VALUE!</v>
      </c>
      <c r="HX2" s="3" t="e">
        <f t="shared" si="8"/>
        <v>#VALUE!</v>
      </c>
      <c r="HY2" s="3" t="e">
        <f t="shared" si="8"/>
        <v>#VALUE!</v>
      </c>
      <c r="HZ2" s="3" t="e">
        <f t="shared" si="8"/>
        <v>#VALUE!</v>
      </c>
      <c r="IA2" s="3" t="e">
        <f t="shared" si="8"/>
        <v>#VALUE!</v>
      </c>
      <c r="IB2" s="3" t="e">
        <f t="shared" si="8"/>
        <v>#VALUE!</v>
      </c>
      <c r="IC2" s="3" t="e">
        <f t="shared" si="8"/>
        <v>#VALUE!</v>
      </c>
      <c r="ID2" s="3" t="e">
        <f t="shared" si="8"/>
        <v>#VALUE!</v>
      </c>
      <c r="IE2" s="3" t="e">
        <f t="shared" si="8"/>
        <v>#VALUE!</v>
      </c>
      <c r="IF2" s="3" t="e">
        <f t="shared" si="8"/>
        <v>#VALUE!</v>
      </c>
      <c r="IG2" s="3" t="e">
        <f t="shared" si="8"/>
        <v>#VALUE!</v>
      </c>
      <c r="IH2" s="3" t="e">
        <f t="shared" si="8"/>
        <v>#VALUE!</v>
      </c>
      <c r="II2" s="3" t="e">
        <f t="shared" si="8"/>
        <v>#VALUE!</v>
      </c>
      <c r="IJ2" s="3" t="e">
        <f t="shared" si="8"/>
        <v>#VALUE!</v>
      </c>
      <c r="IK2" s="3" t="e">
        <f t="shared" si="8"/>
        <v>#VALUE!</v>
      </c>
      <c r="IL2" s="3" t="e">
        <f t="shared" si="8"/>
        <v>#VALUE!</v>
      </c>
      <c r="IM2" s="3" t="e">
        <f t="shared" si="8"/>
        <v>#VALUE!</v>
      </c>
      <c r="IN2" s="3" t="e">
        <f t="shared" si="8"/>
        <v>#VALUE!</v>
      </c>
      <c r="IO2" s="3" t="e">
        <f t="shared" si="8"/>
        <v>#VALUE!</v>
      </c>
      <c r="IP2" s="3" t="e">
        <f t="shared" si="8"/>
        <v>#VALUE!</v>
      </c>
      <c r="IQ2" s="3" t="e">
        <f t="shared" si="8"/>
        <v>#VALUE!</v>
      </c>
      <c r="IR2" s="3" t="e">
        <f t="shared" si="8"/>
        <v>#VALUE!</v>
      </c>
      <c r="IS2" s="3" t="e">
        <f t="shared" si="8"/>
        <v>#VALUE!</v>
      </c>
      <c r="IT2" s="3" t="e">
        <f t="shared" si="8"/>
        <v>#VALUE!</v>
      </c>
      <c r="IU2" s="3" t="e">
        <f t="shared" si="8"/>
        <v>#VALUE!</v>
      </c>
      <c r="IV2" s="3" t="e">
        <f t="shared" si="8"/>
        <v>#VALUE!</v>
      </c>
      <c r="IW2" s="3" t="e">
        <f t="shared" si="8"/>
        <v>#VALUE!</v>
      </c>
      <c r="IX2" s="3" t="e">
        <f t="shared" si="8"/>
        <v>#VALUE!</v>
      </c>
      <c r="IY2" s="3" t="e">
        <f t="shared" si="8"/>
        <v>#VALUE!</v>
      </c>
      <c r="IZ2" s="3" t="e">
        <f t="shared" si="8"/>
        <v>#VALUE!</v>
      </c>
      <c r="JA2" s="3" t="e">
        <f t="shared" si="8"/>
        <v>#VALUE!</v>
      </c>
      <c r="JB2" s="3" t="e">
        <f t="shared" si="8"/>
        <v>#VALUE!</v>
      </c>
      <c r="JC2" s="3" t="e">
        <f t="shared" si="8"/>
        <v>#VALUE!</v>
      </c>
      <c r="JD2" s="3" t="e">
        <f t="shared" si="8"/>
        <v>#VALUE!</v>
      </c>
      <c r="JE2" s="3" t="e">
        <f t="shared" si="8"/>
        <v>#VALUE!</v>
      </c>
      <c r="JF2" s="3">
        <f t="shared" si="8"/>
        <v>0</v>
      </c>
      <c r="JG2" s="3" t="str">
        <f t="shared" si="8"/>
        <v xml:space="preserve">20000000*0.625 </v>
      </c>
      <c r="JH2" s="3">
        <f t="shared" si="8"/>
        <v>0</v>
      </c>
      <c r="JI2" s="3">
        <f t="shared" si="8"/>
        <v>0</v>
      </c>
      <c r="JJ2" s="3">
        <f t="shared" si="8"/>
        <v>0</v>
      </c>
      <c r="JK2" s="3">
        <f t="shared" si="8"/>
        <v>0</v>
      </c>
      <c r="JL2" s="3">
        <f t="shared" si="8"/>
        <v>0</v>
      </c>
      <c r="JM2" s="3">
        <f t="shared" si="8"/>
        <v>0</v>
      </c>
      <c r="JN2" s="3">
        <f t="shared" si="8"/>
        <v>0</v>
      </c>
      <c r="JO2" s="3">
        <f t="shared" si="8"/>
        <v>0</v>
      </c>
      <c r="JP2" s="3">
        <f t="shared" si="8"/>
        <v>0</v>
      </c>
      <c r="JQ2" s="3">
        <f t="shared" si="8"/>
        <v>0</v>
      </c>
      <c r="JR2" s="3">
        <f t="shared" si="8"/>
        <v>0</v>
      </c>
      <c r="JS2" s="3">
        <f t="shared" si="8"/>
        <v>0</v>
      </c>
      <c r="JT2" s="3">
        <f t="shared" si="8"/>
        <v>0</v>
      </c>
      <c r="JU2" s="3">
        <f t="shared" si="8"/>
        <v>0</v>
      </c>
      <c r="JV2" s="3">
        <f t="shared" si="8"/>
        <v>0</v>
      </c>
      <c r="JW2" s="3">
        <f t="shared" si="8"/>
        <v>0</v>
      </c>
      <c r="JX2" s="3">
        <f t="shared" si="8"/>
        <v>0</v>
      </c>
      <c r="JY2" s="3">
        <f t="shared" ref="JY2:KL2" si="9">CT2</f>
        <v>0</v>
      </c>
      <c r="JZ2" s="3">
        <f t="shared" si="9"/>
        <v>0</v>
      </c>
      <c r="KA2" s="3">
        <f t="shared" si="9"/>
        <v>0</v>
      </c>
      <c r="KB2" s="3">
        <f t="shared" si="9"/>
        <v>0</v>
      </c>
      <c r="KC2" s="3">
        <f t="shared" si="9"/>
        <v>0</v>
      </c>
      <c r="KD2" s="3">
        <f t="shared" si="9"/>
        <v>0</v>
      </c>
      <c r="KE2" s="3">
        <f t="shared" si="9"/>
        <v>0</v>
      </c>
      <c r="KF2" s="3">
        <f t="shared" si="9"/>
        <v>0</v>
      </c>
      <c r="KG2" s="3">
        <f t="shared" si="9"/>
        <v>0</v>
      </c>
      <c r="KH2" s="3">
        <f t="shared" si="9"/>
        <v>0</v>
      </c>
      <c r="KI2" s="3">
        <f t="shared" si="9"/>
        <v>0</v>
      </c>
      <c r="KJ2" s="3">
        <f t="shared" si="9"/>
        <v>0</v>
      </c>
      <c r="KK2" s="3">
        <f t="shared" si="9"/>
        <v>0</v>
      </c>
      <c r="KL2" s="3">
        <f t="shared" si="9"/>
        <v>0</v>
      </c>
      <c r="KM2" s="1" t="b">
        <v>1</v>
      </c>
    </row>
    <row r="3" spans="1:303">
      <c r="A3" s="1">
        <v>2</v>
      </c>
      <c r="B3" s="1" t="s">
        <v>318</v>
      </c>
      <c r="F3" s="12" t="s">
        <v>304</v>
      </c>
      <c r="G3" s="1" t="str">
        <f t="shared" si="0"/>
        <v>Bualuang Securities Public Company Limited</v>
      </c>
      <c r="H3" s="13" t="s">
        <v>305</v>
      </c>
      <c r="N3" s="3" t="str">
        <f t="shared" si="1"/>
        <v>20/02/2026</v>
      </c>
      <c r="O3" s="3" t="str">
        <f t="shared" si="2"/>
        <v>20/02/2026</v>
      </c>
      <c r="P3" s="3" t="e">
        <f>DATEVALUE(_xlfn.TEXTBEFORE(H3,"T"))-1</f>
        <v>#N/A</v>
      </c>
      <c r="Q3" s="3" t="str">
        <f t="shared" si="3"/>
        <v>20/02/2026</v>
      </c>
      <c r="R3" s="9" t="e">
        <f t="shared" ref="R3:R4" si="10">DATEVALUE(_xlfn.TEXTBEFORE(X3,"T"))-5</f>
        <v>#N/A</v>
      </c>
      <c r="X3" s="3" t="s">
        <v>306</v>
      </c>
      <c r="Y3" s="4">
        <f t="shared" si="4"/>
        <v>3418800</v>
      </c>
      <c r="Z3" s="1" t="s">
        <v>307</v>
      </c>
      <c r="AA3" s="1">
        <v>1</v>
      </c>
      <c r="AB3" s="1" t="s">
        <v>308</v>
      </c>
      <c r="AC3" s="1" t="s">
        <v>309</v>
      </c>
      <c r="AD3" s="1" t="s">
        <v>310</v>
      </c>
      <c r="AE3" s="1" t="str" cm="1">
        <f t="array" ref="AE3">_xlfn.IFS(
   ISNUMBER(SEARCH("Call Warrant",DO3)),"Call Warrant",
   ISNUMBER(SEARCH("Put Warrant",DO3)),"Put Warrant"
)</f>
        <v>Call Warrant</v>
      </c>
      <c r="AG3" s="5" t="str" cm="1">
        <f t="array" ref="AG3">_xlfn.LET(
    _xlpm.prefix,IFERROR(LEFT(B3,MIN(FIND({0,1,2,3,4,5,6,7,8,9},B3&amp;"0123456789"))-1),B3),
    IF(_xlpm.prefix="COM","COM 7 TB Equity",
    IF(_xlpm.prefix="HSI",_xlpm.prefix &amp; " Index",
    IF(_xlpm.prefix="NDX",_xlpm.prefix &amp; " Index",
    _xlpm.prefix &amp; " TB Equity")))
)</f>
        <v>CPALL TB Equity</v>
      </c>
      <c r="CB3" s="4" t="str">
        <f>40000000&amp;"*"&amp;0.08547</f>
        <v>40000000*0.08547</v>
      </c>
      <c r="DO3" s="2" t="s">
        <v>319</v>
      </c>
      <c r="DS3" s="10">
        <v>1</v>
      </c>
      <c r="DV3" s="1" t="s">
        <v>313</v>
      </c>
      <c r="EP3" s="1" t="s">
        <v>314</v>
      </c>
      <c r="ES3" s="1" t="s">
        <v>315</v>
      </c>
      <c r="ET3" s="1" t="s">
        <v>316</v>
      </c>
      <c r="GS3" s="11"/>
      <c r="GT3" s="1" t="s">
        <v>317</v>
      </c>
      <c r="GV3" s="3" t="str">
        <f t="shared" si="6"/>
        <v>20/02/2026</v>
      </c>
      <c r="GW3" s="3" t="e">
        <f t="shared" si="7"/>
        <v>#N/A</v>
      </c>
      <c r="KM3" s="1" t="b">
        <v>1</v>
      </c>
    </row>
    <row r="4" spans="1:303">
      <c r="A4" s="1">
        <v>3</v>
      </c>
      <c r="B4" s="1" t="s">
        <v>320</v>
      </c>
      <c r="F4" s="7" t="s">
        <v>304</v>
      </c>
      <c r="G4" s="1" t="str">
        <f t="shared" si="0"/>
        <v>Bualuang Securities Public Company Limited</v>
      </c>
      <c r="H4" s="8" t="s">
        <v>305</v>
      </c>
      <c r="N4" s="3" t="str">
        <f t="shared" si="1"/>
        <v>20/02/2026</v>
      </c>
      <c r="O4" s="3" t="str">
        <f t="shared" si="2"/>
        <v>20/02/2026</v>
      </c>
      <c r="P4" s="3" t="e">
        <f t="shared" ref="P4:P67" si="11">DATEVALUE(_xlfn.TEXTBEFORE(H4,"T"))-1</f>
        <v>#N/A</v>
      </c>
      <c r="Q4" s="3" t="str">
        <f t="shared" si="3"/>
        <v>20/02/2026</v>
      </c>
      <c r="R4" s="9" t="e">
        <f t="shared" si="10"/>
        <v>#N/A</v>
      </c>
      <c r="X4" s="3" t="s">
        <v>306</v>
      </c>
      <c r="Y4" s="4">
        <f t="shared" si="4"/>
        <v>11764800</v>
      </c>
      <c r="Z4" s="1" t="s">
        <v>307</v>
      </c>
      <c r="AA4" s="1">
        <v>1</v>
      </c>
      <c r="AB4" s="1" t="s">
        <v>308</v>
      </c>
      <c r="AC4" s="1" t="s">
        <v>309</v>
      </c>
      <c r="AD4" s="1" t="s">
        <v>310</v>
      </c>
      <c r="AE4" s="1" t="str" cm="1">
        <f t="array" ref="AE4">_xlfn.IFS(
   ISNUMBER(SEARCH("Call Warrant",DO4)),"Call Warrant",
   ISNUMBER(SEARCH("Put Warrant",DO4)),"Put Warrant"
)</f>
        <v>Call Warrant</v>
      </c>
      <c r="AG4" s="5" t="str" cm="1">
        <f t="array" ref="AG4">_xlfn.LET(
    _xlpm.prefix,IFERROR(LEFT(B4,MIN(FIND({0,1,2,3,4,5,6,7,8,9},B4&amp;"0123456789"))-1),B4),
    IF(_xlpm.prefix="COM","COM 7 TB Equity",
    IF(_xlpm.prefix="HSI",_xlpm.prefix &amp; " Index",
    IF(_xlpm.prefix="NDX",_xlpm.prefix &amp; " Index",
    _xlpm.prefix &amp; " TB Equity")))
)</f>
        <v>BTS TB Equity</v>
      </c>
      <c r="CB4" s="4" t="str">
        <f>40000000&amp;"*"&amp;0.29412</f>
        <v>40000000*0.29412</v>
      </c>
      <c r="DO4" s="2" t="s">
        <v>321</v>
      </c>
      <c r="DS4" s="10">
        <v>1</v>
      </c>
      <c r="DV4" s="1" t="s">
        <v>313</v>
      </c>
      <c r="EP4" s="1" t="s">
        <v>314</v>
      </c>
      <c r="ES4" s="1" t="s">
        <v>315</v>
      </c>
      <c r="ET4" s="1" t="s">
        <v>316</v>
      </c>
      <c r="GS4" s="11"/>
      <c r="GT4" s="1" t="s">
        <v>317</v>
      </c>
      <c r="GV4" s="3" t="str">
        <f t="shared" si="6"/>
        <v>20/02/2026</v>
      </c>
      <c r="GW4" s="3" t="e">
        <f t="shared" si="7"/>
        <v>#N/A</v>
      </c>
      <c r="KM4" s="1" t="b">
        <v>1</v>
      </c>
    </row>
    <row r="5" spans="1:303">
      <c r="A5" s="1">
        <v>4</v>
      </c>
      <c r="B5" s="1" t="s">
        <v>322</v>
      </c>
      <c r="F5" s="12" t="s">
        <v>304</v>
      </c>
      <c r="G5" s="1" t="str">
        <f t="shared" si="0"/>
        <v>Bualuang Securities Public Company Limited</v>
      </c>
      <c r="H5" s="13" t="s">
        <v>305</v>
      </c>
      <c r="N5" s="3" t="str">
        <f t="shared" si="1"/>
        <v>20/02/2026</v>
      </c>
      <c r="O5" s="3" t="str">
        <f t="shared" si="2"/>
        <v>20/02/2026</v>
      </c>
      <c r="P5" s="3" t="e">
        <f t="shared" si="11"/>
        <v>#N/A</v>
      </c>
      <c r="Q5" s="3" t="str">
        <f t="shared" si="3"/>
        <v>20/02/2026</v>
      </c>
      <c r="R5" s="9" t="e">
        <f>DATEVALUE(_xlfn.TEXTBEFORE(X5,"T"))-3</f>
        <v>#N/A</v>
      </c>
      <c r="X5" s="3" t="s">
        <v>306</v>
      </c>
      <c r="Y5" s="4">
        <f t="shared" si="4"/>
        <v>30000000</v>
      </c>
      <c r="Z5" s="1" t="s">
        <v>307</v>
      </c>
      <c r="AA5" s="1">
        <v>1</v>
      </c>
      <c r="AB5" s="1" t="s">
        <v>308</v>
      </c>
      <c r="AC5" s="1" t="s">
        <v>309</v>
      </c>
      <c r="AD5" s="1" t="s">
        <v>310</v>
      </c>
      <c r="AE5" s="1" t="str" cm="1">
        <f t="array" ref="AE5">_xlfn.IFS(
   ISNUMBER(SEARCH("Call Warrant",DO5)),"Call Warrant",
   ISNUMBER(SEARCH("Put Warrant",DO5)),"Put Warrant"
)</f>
        <v>Call Warrant</v>
      </c>
      <c r="AG5" s="5" t="str" cm="1">
        <f t="array" ref="AG5">_xlfn.LET(
    _xlpm.prefix,IFERROR(LEFT(B5,MIN(FIND({0,1,2,3,4,5,6,7,8,9},B5&amp;"0123456789"))-1),B5),
    IF(_xlpm.prefix="COM","COM 7 TB Equity",
    IF(_xlpm.prefix="HSI",_xlpm.prefix &amp; " Index",
    IF(_xlpm.prefix="NDX",_xlpm.prefix &amp; " Index",
    _xlpm.prefix &amp; " TB Equity")))
)</f>
        <v>GLOBAL TB Equity</v>
      </c>
      <c r="CB5" s="4" t="str">
        <f>120000000&amp;"*"&amp;0.25</f>
        <v>120000000*0.25</v>
      </c>
      <c r="DO5" s="2" t="s">
        <v>323</v>
      </c>
      <c r="DS5" s="10">
        <v>1</v>
      </c>
      <c r="DV5" s="1" t="s">
        <v>313</v>
      </c>
      <c r="EP5" s="1" t="s">
        <v>314</v>
      </c>
      <c r="ES5" s="1" t="s">
        <v>315</v>
      </c>
      <c r="ET5" s="1" t="s">
        <v>316</v>
      </c>
      <c r="GS5" s="11"/>
      <c r="GT5" s="1" t="s">
        <v>317</v>
      </c>
      <c r="GV5" s="3" t="str">
        <f t="shared" si="6"/>
        <v>20/02/2026</v>
      </c>
      <c r="GW5" s="3" t="e">
        <f t="shared" si="7"/>
        <v>#N/A</v>
      </c>
      <c r="KM5" s="1" t="b">
        <v>1</v>
      </c>
    </row>
    <row r="6" spans="1:303">
      <c r="A6" s="1">
        <v>5</v>
      </c>
      <c r="B6" s="1" t="s">
        <v>324</v>
      </c>
      <c r="F6" s="7" t="s">
        <v>304</v>
      </c>
      <c r="G6" s="1" t="str">
        <f t="shared" si="0"/>
        <v>Bualuang Securities Public Company Limited</v>
      </c>
      <c r="H6" s="8" t="s">
        <v>305</v>
      </c>
      <c r="N6" s="3" t="str">
        <f t="shared" si="1"/>
        <v>20/02/2026</v>
      </c>
      <c r="O6" s="3" t="str">
        <f t="shared" si="2"/>
        <v>20/02/2026</v>
      </c>
      <c r="P6" s="3" t="e">
        <f t="shared" si="11"/>
        <v>#N/A</v>
      </c>
      <c r="Q6" s="3" t="str">
        <f t="shared" si="3"/>
        <v>20/02/2026</v>
      </c>
      <c r="R6" s="9" t="e">
        <f t="shared" ref="R6:R8" si="12">DATEVALUE(_xlfn.TEXTBEFORE(X6,"T"))-5</f>
        <v>#N/A</v>
      </c>
      <c r="X6" s="3" t="s">
        <v>306</v>
      </c>
      <c r="Y6" s="4">
        <f t="shared" si="4"/>
        <v>9600000</v>
      </c>
      <c r="Z6" s="1" t="s">
        <v>307</v>
      </c>
      <c r="AA6" s="1">
        <v>1</v>
      </c>
      <c r="AB6" s="1" t="s">
        <v>308</v>
      </c>
      <c r="AC6" s="1" t="s">
        <v>309</v>
      </c>
      <c r="AD6" s="1" t="s">
        <v>310</v>
      </c>
      <c r="AE6" s="1" t="str" cm="1">
        <f t="array" ref="AE6">_xlfn.IFS(
   ISNUMBER(SEARCH("Call Warrant",DO6)),"Call Warrant",
   ISNUMBER(SEARCH("Put Warrant",DO6)),"Put Warrant"
)</f>
        <v>Call Warrant</v>
      </c>
      <c r="AG6" s="5" t="str" cm="1">
        <f t="array" ref="AG6">_xlfn.LET(
    _xlpm.prefix,IFERROR(LEFT(B6,MIN(FIND({0,1,2,3,4,5,6,7,8,9},B6&amp;"0123456789"))-1),B6),
    IF(_xlpm.prefix="COM","COM 7 TB Equity",
    IF(_xlpm.prefix="HSI",_xlpm.prefix &amp; " Index",
    IF(_xlpm.prefix="NDX",_xlpm.prefix &amp; " Index",
    _xlpm.prefix &amp; " TB Equity")))
)</f>
        <v>BEM TB Equity</v>
      </c>
      <c r="CB6" s="4" t="str">
        <f>120000000&amp;"*"&amp;0.08</f>
        <v>120000000*0.08</v>
      </c>
      <c r="DO6" s="2" t="s">
        <v>325</v>
      </c>
      <c r="DS6" s="10">
        <v>1</v>
      </c>
      <c r="DV6" s="1" t="s">
        <v>313</v>
      </c>
      <c r="EP6" s="1" t="s">
        <v>314</v>
      </c>
      <c r="ES6" s="1" t="s">
        <v>315</v>
      </c>
      <c r="ET6" s="1" t="s">
        <v>316</v>
      </c>
      <c r="GS6" s="11"/>
      <c r="GT6" s="1" t="s">
        <v>317</v>
      </c>
      <c r="GV6" s="3" t="str">
        <f t="shared" si="6"/>
        <v>20/02/2026</v>
      </c>
      <c r="GW6" s="3" t="e">
        <f t="shared" si="7"/>
        <v>#N/A</v>
      </c>
      <c r="KM6" s="1" t="b">
        <v>1</v>
      </c>
    </row>
    <row r="7" spans="1:303">
      <c r="A7" s="1">
        <v>6</v>
      </c>
      <c r="B7" s="1" t="s">
        <v>326</v>
      </c>
      <c r="F7" s="12" t="s">
        <v>304</v>
      </c>
      <c r="G7" s="1" t="str">
        <f t="shared" si="0"/>
        <v>Bualuang Securities Public Company Limited</v>
      </c>
      <c r="H7" s="13" t="s">
        <v>305</v>
      </c>
      <c r="N7" s="3" t="str">
        <f t="shared" si="1"/>
        <v>20/02/2026</v>
      </c>
      <c r="O7" s="3" t="str">
        <f t="shared" si="2"/>
        <v>20/02/2026</v>
      </c>
      <c r="P7" s="3" t="e">
        <f t="shared" si="11"/>
        <v>#N/A</v>
      </c>
      <c r="Q7" s="3" t="str">
        <f t="shared" si="3"/>
        <v>20/02/2026</v>
      </c>
      <c r="R7" s="9" t="e">
        <f t="shared" si="12"/>
        <v>#N/A</v>
      </c>
      <c r="X7" s="3" t="s">
        <v>306</v>
      </c>
      <c r="Y7" s="4">
        <f t="shared" si="4"/>
        <v>24000000</v>
      </c>
      <c r="Z7" s="1" t="s">
        <v>307</v>
      </c>
      <c r="AA7" s="1">
        <v>1</v>
      </c>
      <c r="AB7" s="1" t="s">
        <v>308</v>
      </c>
      <c r="AC7" s="1" t="s">
        <v>309</v>
      </c>
      <c r="AD7" s="1" t="s">
        <v>310</v>
      </c>
      <c r="AE7" s="1" t="str" cm="1">
        <f t="array" ref="AE7">_xlfn.IFS(
   ISNUMBER(SEARCH("Call Warrant",DO7)),"Call Warrant",
   ISNUMBER(SEARCH("Put Warrant",DO7)),"Put Warrant"
)</f>
        <v>Put Warrant</v>
      </c>
      <c r="AG7" s="5" t="str" cm="1">
        <f t="array" ref="AG7">_xlfn.LET(
    _xlpm.prefix,IFERROR(LEFT(B7,MIN(FIND({0,1,2,3,4,5,6,7,8,9},B7&amp;"0123456789"))-1),B7),
    IF(_xlpm.prefix="COM","COM 7 TB Equity",
    IF(_xlpm.prefix="HSI",_xlpm.prefix &amp; " Index",
    IF(_xlpm.prefix="NDX",_xlpm.prefix &amp; " Index",
    _xlpm.prefix &amp; " TB Equity")))
)</f>
        <v>CPF TB Equity</v>
      </c>
      <c r="CB7" s="4" t="str">
        <f>120000000&amp;"*"&amp;0.2</f>
        <v>120000000*0.2</v>
      </c>
      <c r="DO7" s="2" t="s">
        <v>327</v>
      </c>
      <c r="DS7" s="10">
        <v>1</v>
      </c>
      <c r="DV7" s="1" t="s">
        <v>313</v>
      </c>
      <c r="EP7" s="1" t="s">
        <v>314</v>
      </c>
      <c r="ES7" s="1" t="s">
        <v>315</v>
      </c>
      <c r="ET7" s="1" t="s">
        <v>316</v>
      </c>
      <c r="GS7" s="11"/>
      <c r="GT7" s="1" t="s">
        <v>317</v>
      </c>
      <c r="GV7" s="3" t="str">
        <f t="shared" si="6"/>
        <v>20/02/2026</v>
      </c>
      <c r="GW7" s="3" t="e">
        <f t="shared" si="7"/>
        <v>#N/A</v>
      </c>
      <c r="KM7" s="1" t="b">
        <v>1</v>
      </c>
    </row>
    <row r="8" spans="1:303">
      <c r="A8" s="1">
        <v>7</v>
      </c>
      <c r="B8" s="1" t="s">
        <v>328</v>
      </c>
      <c r="F8" s="7" t="s">
        <v>304</v>
      </c>
      <c r="G8" s="1" t="str">
        <f t="shared" si="0"/>
        <v>Bualuang Securities Public Company Limited</v>
      </c>
      <c r="H8" s="8" t="s">
        <v>305</v>
      </c>
      <c r="N8" s="3" t="str">
        <f t="shared" si="1"/>
        <v>20/02/2026</v>
      </c>
      <c r="O8" s="3" t="str">
        <f t="shared" si="2"/>
        <v>20/02/2026</v>
      </c>
      <c r="P8" s="3" t="e">
        <f t="shared" si="11"/>
        <v>#N/A</v>
      </c>
      <c r="Q8" s="3" t="str">
        <f t="shared" si="3"/>
        <v>20/02/2026</v>
      </c>
      <c r="R8" s="9" t="e">
        <f t="shared" si="12"/>
        <v>#N/A</v>
      </c>
      <c r="X8" s="3" t="s">
        <v>306</v>
      </c>
      <c r="Y8" s="4">
        <f t="shared" si="4"/>
        <v>104348400</v>
      </c>
      <c r="Z8" s="1" t="s">
        <v>307</v>
      </c>
      <c r="AA8" s="1">
        <v>1</v>
      </c>
      <c r="AB8" s="1" t="s">
        <v>308</v>
      </c>
      <c r="AC8" s="1" t="s">
        <v>309</v>
      </c>
      <c r="AD8" s="1" t="s">
        <v>310</v>
      </c>
      <c r="AE8" s="1" t="str" cm="1">
        <f t="array" ref="AE8">_xlfn.IFS(
   ISNUMBER(SEARCH("Call Warrant",DO8)),"Call Warrant",
   ISNUMBER(SEARCH("Put Warrant",DO8)),"Put Warrant"
)</f>
        <v>Call Warrant</v>
      </c>
      <c r="AG8" s="5" t="str" cm="1">
        <f t="array" ref="AG8">_xlfn.LET(
    _xlpm.prefix,IFERROR(LEFT(B8,MIN(FIND({0,1,2,3,4,5,6,7,8,9},B8&amp;"0123456789"))-1),B8),
    IF(_xlpm.prefix="COM","COM 7 TB Equity",
    IF(_xlpm.prefix="HSI",_xlpm.prefix &amp; " Index",
    IF(_xlpm.prefix="NDX",_xlpm.prefix &amp; " Index",
    _xlpm.prefix &amp; " TB Equity")))
)</f>
        <v>BCP TB Equity</v>
      </c>
      <c r="CB8" s="4" t="str">
        <f>120000000&amp;"*"&amp;0.86957</f>
        <v>120000000*0.86957</v>
      </c>
      <c r="DO8" s="2" t="s">
        <v>329</v>
      </c>
      <c r="DS8" s="10">
        <v>1</v>
      </c>
      <c r="DV8" s="1" t="s">
        <v>313</v>
      </c>
      <c r="EP8" s="1" t="s">
        <v>314</v>
      </c>
      <c r="ES8" s="1" t="s">
        <v>315</v>
      </c>
      <c r="ET8" s="1" t="s">
        <v>316</v>
      </c>
      <c r="GS8" s="11"/>
      <c r="GT8" s="1" t="s">
        <v>317</v>
      </c>
      <c r="GV8" s="3" t="str">
        <f t="shared" si="6"/>
        <v>20/02/2026</v>
      </c>
      <c r="GW8" s="3" t="e">
        <f t="shared" si="7"/>
        <v>#N/A</v>
      </c>
      <c r="KM8" s="1" t="b">
        <v>1</v>
      </c>
    </row>
    <row r="9" spans="1:303">
      <c r="A9" s="1">
        <v>8</v>
      </c>
      <c r="B9" s="1" t="s">
        <v>330</v>
      </c>
      <c r="F9" s="12" t="s">
        <v>304</v>
      </c>
      <c r="G9" s="1" t="str">
        <f t="shared" si="0"/>
        <v>Bualuang Securities Public Company Limited</v>
      </c>
      <c r="H9" s="13" t="s">
        <v>305</v>
      </c>
      <c r="N9" s="3" t="str">
        <f t="shared" si="1"/>
        <v>20/02/2026</v>
      </c>
      <c r="O9" s="3" t="str">
        <f t="shared" si="2"/>
        <v>20/02/2026</v>
      </c>
      <c r="P9" s="3" t="e">
        <f t="shared" si="11"/>
        <v>#N/A</v>
      </c>
      <c r="Q9" s="3" t="str">
        <f t="shared" si="3"/>
        <v>20/02/2026</v>
      </c>
      <c r="R9" s="9" t="e">
        <f>DATEVALUE(_xlfn.TEXTBEFORE(X9,"T"))-3</f>
        <v>#N/A</v>
      </c>
      <c r="X9" s="3" t="s">
        <v>306</v>
      </c>
      <c r="Y9" s="4">
        <f t="shared" si="4"/>
        <v>100098000</v>
      </c>
      <c r="Z9" s="1" t="s">
        <v>307</v>
      </c>
      <c r="AA9" s="1">
        <v>1</v>
      </c>
      <c r="AB9" s="1" t="s">
        <v>308</v>
      </c>
      <c r="AC9" s="1" t="s">
        <v>309</v>
      </c>
      <c r="AD9" s="1" t="s">
        <v>310</v>
      </c>
      <c r="AE9" s="1" t="str" cm="1">
        <f t="array" ref="AE9">_xlfn.IFS(
   ISNUMBER(SEARCH("Call Warrant",DO9)),"Call Warrant",
   ISNUMBER(SEARCH("Put Warrant",DO9)),"Put Warrant"
)</f>
        <v>Put Warrant</v>
      </c>
      <c r="AG9" s="5" t="str" cm="1">
        <f t="array" ref="AG9">_xlfn.LET(
    _xlpm.prefix,IFERROR(LEFT(B9,MIN(FIND({0,1,2,3,4,5,6,7,8,9},B9&amp;"0123456789"))-1),B9),
    IF(_xlpm.prefix="COM","COM 7 TB Equity",
    IF(_xlpm.prefix="HSI",_xlpm.prefix &amp; " Index",
    IF(_xlpm.prefix="NDX",_xlpm.prefix &amp; " Index",
    _xlpm.prefix &amp; " TB Equity")))
)</f>
        <v>CPALL TB Equity</v>
      </c>
      <c r="CB9" s="4" t="str">
        <f>100000000&amp;"*"&amp;1.00098</f>
        <v>100000000*1.00098</v>
      </c>
      <c r="DO9" s="2" t="s">
        <v>331</v>
      </c>
      <c r="DS9" s="10">
        <v>1</v>
      </c>
      <c r="DV9" s="1" t="s">
        <v>313</v>
      </c>
      <c r="EP9" s="1" t="s">
        <v>314</v>
      </c>
      <c r="ES9" s="1" t="s">
        <v>315</v>
      </c>
      <c r="ET9" s="1" t="s">
        <v>316</v>
      </c>
      <c r="GS9" s="11"/>
      <c r="GT9" s="1" t="s">
        <v>317</v>
      </c>
      <c r="GV9" s="3" t="str">
        <f t="shared" si="6"/>
        <v>20/02/2026</v>
      </c>
      <c r="GW9" s="3" t="e">
        <f t="shared" si="7"/>
        <v>#N/A</v>
      </c>
      <c r="KM9" s="1" t="b">
        <v>1</v>
      </c>
    </row>
    <row r="10" spans="1:303">
      <c r="A10" s="1">
        <v>9</v>
      </c>
      <c r="B10" s="1" t="s">
        <v>332</v>
      </c>
      <c r="F10" s="7" t="s">
        <v>304</v>
      </c>
      <c r="G10" s="1" t="str">
        <f t="shared" si="0"/>
        <v>Bualuang Securities Public Company Limited</v>
      </c>
      <c r="H10" s="8" t="s">
        <v>305</v>
      </c>
      <c r="N10" s="3" t="str">
        <f t="shared" si="1"/>
        <v>20/02/2026</v>
      </c>
      <c r="O10" s="3" t="str">
        <f t="shared" si="2"/>
        <v>20/02/2026</v>
      </c>
      <c r="P10" s="3" t="e">
        <f t="shared" si="11"/>
        <v>#N/A</v>
      </c>
      <c r="Q10" s="3" t="str">
        <f t="shared" si="3"/>
        <v>20/02/2026</v>
      </c>
      <c r="R10" s="9" t="e">
        <f t="shared" ref="R10:R12" si="13">DATEVALUE(_xlfn.TEXTBEFORE(X10,"T"))-3</f>
        <v>#N/A</v>
      </c>
      <c r="X10" s="3" t="s">
        <v>306</v>
      </c>
      <c r="Y10" s="4">
        <f t="shared" si="4"/>
        <v>54932000</v>
      </c>
      <c r="Z10" s="1" t="s">
        <v>307</v>
      </c>
      <c r="AA10" s="1">
        <v>1</v>
      </c>
      <c r="AB10" s="1" t="s">
        <v>308</v>
      </c>
      <c r="AC10" s="1" t="s">
        <v>309</v>
      </c>
      <c r="AD10" s="1" t="s">
        <v>310</v>
      </c>
      <c r="AE10" s="1" t="str" cm="1">
        <f t="array" ref="AE10">_xlfn.IFS(
   ISNUMBER(SEARCH("Call Warrant",DO10)),"Call Warrant",
   ISNUMBER(SEARCH("Put Warrant",DO10)),"Put Warrant"
)</f>
        <v>Call Warrant</v>
      </c>
      <c r="AG10" s="5" t="str" cm="1">
        <f t="array" ref="AG10">_xlfn.LET(
    _xlpm.prefix,IFERROR(LEFT(B10,MIN(FIND({0,1,2,3,4,5,6,7,8,9},B10&amp;"0123456789"))-1),B10),
    IF(_xlpm.prefix="COM","COM 7 TB Equity",
    IF(_xlpm.prefix="HSI",_xlpm.prefix &amp; " Index",
    IF(_xlpm.prefix="NDX",_xlpm.prefix &amp; " Index",
    _xlpm.prefix &amp; " TB Equity")))
)</f>
        <v>GPSC TB Equity</v>
      </c>
      <c r="CB10" s="4" t="str">
        <f>100000000&amp;"*"&amp;0.54932</f>
        <v>100000000*0.54932</v>
      </c>
      <c r="DO10" s="2" t="s">
        <v>333</v>
      </c>
      <c r="DS10" s="10">
        <v>1</v>
      </c>
      <c r="DV10" s="1" t="s">
        <v>313</v>
      </c>
      <c r="EP10" s="1" t="s">
        <v>314</v>
      </c>
      <c r="ES10" s="1" t="s">
        <v>315</v>
      </c>
      <c r="ET10" s="1" t="s">
        <v>316</v>
      </c>
      <c r="GS10" s="11"/>
      <c r="GT10" s="1" t="s">
        <v>317</v>
      </c>
      <c r="GV10" s="3" t="str">
        <f t="shared" si="6"/>
        <v>20/02/2026</v>
      </c>
      <c r="GW10" s="3" t="e">
        <f t="shared" si="7"/>
        <v>#N/A</v>
      </c>
      <c r="KM10" s="1" t="b">
        <v>1</v>
      </c>
    </row>
    <row r="11" spans="1:303">
      <c r="A11" s="1">
        <v>10</v>
      </c>
      <c r="B11" s="1" t="s">
        <v>334</v>
      </c>
      <c r="F11" s="12" t="s">
        <v>304</v>
      </c>
      <c r="G11" s="1" t="str">
        <f t="shared" si="0"/>
        <v>Bualuang Securities Public Company Limited</v>
      </c>
      <c r="H11" s="13" t="s">
        <v>305</v>
      </c>
      <c r="N11" s="3" t="str">
        <f t="shared" si="1"/>
        <v>20/02/2026</v>
      </c>
      <c r="O11" s="3" t="str">
        <f t="shared" si="2"/>
        <v>20/02/2026</v>
      </c>
      <c r="P11" s="3" t="e">
        <f t="shared" si="11"/>
        <v>#N/A</v>
      </c>
      <c r="Q11" s="3" t="str">
        <f t="shared" si="3"/>
        <v>20/02/2026</v>
      </c>
      <c r="R11" s="9" t="e">
        <f t="shared" si="13"/>
        <v>#N/A</v>
      </c>
      <c r="X11" s="3" t="s">
        <v>306</v>
      </c>
      <c r="Y11" s="4">
        <f t="shared" si="4"/>
        <v>5340500</v>
      </c>
      <c r="Z11" s="1" t="s">
        <v>307</v>
      </c>
      <c r="AA11" s="1">
        <v>1</v>
      </c>
      <c r="AB11" s="1" t="s">
        <v>308</v>
      </c>
      <c r="AC11" s="1" t="s">
        <v>309</v>
      </c>
      <c r="AD11" s="1" t="s">
        <v>310</v>
      </c>
      <c r="AE11" s="1" t="str" cm="1">
        <f t="array" ref="AE11">_xlfn.IFS(
   ISNUMBER(SEARCH("Call Warrant",DO11)),"Call Warrant",
   ISNUMBER(SEARCH("Put Warrant",DO11)),"Put Warrant"
)</f>
        <v>Call Warrant</v>
      </c>
      <c r="AG11" s="5" t="str" cm="1">
        <f t="array" ref="AG11">_xlfn.LET(
    _xlpm.prefix,IFERROR(LEFT(B11,MIN(FIND({0,1,2,3,4,5,6,7,8,9},B11&amp;"0123456789"))-1),B11),
    IF(_xlpm.prefix="COM","COM 7 TB Equity",
    IF(_xlpm.prefix="HSI",_xlpm.prefix &amp; " Index",
    IF(_xlpm.prefix="NDX",_xlpm.prefix &amp; " Index",
    _xlpm.prefix &amp; " TB Equity")))
)</f>
        <v>KBANK TB Equity</v>
      </c>
      <c r="CB11" s="4" t="str">
        <f>50000000&amp;"*"&amp;0.10681</f>
        <v>50000000*0.10681</v>
      </c>
      <c r="DO11" s="2" t="s">
        <v>335</v>
      </c>
      <c r="DS11" s="10">
        <v>1</v>
      </c>
      <c r="DV11" s="1" t="s">
        <v>313</v>
      </c>
      <c r="EP11" s="1" t="s">
        <v>314</v>
      </c>
      <c r="ES11" s="1" t="s">
        <v>315</v>
      </c>
      <c r="ET11" s="1" t="s">
        <v>316</v>
      </c>
      <c r="GS11" s="11"/>
      <c r="GT11" s="1" t="s">
        <v>317</v>
      </c>
      <c r="GV11" s="3" t="str">
        <f t="shared" si="6"/>
        <v>20/02/2026</v>
      </c>
      <c r="GW11" s="3" t="e">
        <f t="shared" si="7"/>
        <v>#N/A</v>
      </c>
      <c r="KM11" s="1" t="b">
        <v>1</v>
      </c>
    </row>
    <row r="12" spans="1:303">
      <c r="F12" s="7"/>
      <c r="H12" s="8"/>
      <c r="R12" s="9"/>
      <c r="DS12" s="10"/>
      <c r="GS12" s="11"/>
    </row>
    <row r="13" spans="1:303">
      <c r="F13" s="12"/>
      <c r="H13" s="13"/>
      <c r="R13" s="9"/>
      <c r="DS13" s="10"/>
      <c r="GS13" s="11"/>
    </row>
    <row r="14" spans="1:303">
      <c r="F14" s="7"/>
      <c r="H14" s="8"/>
      <c r="R14" s="9"/>
      <c r="DO14" s="14"/>
      <c r="DS14" s="10"/>
      <c r="GS14" s="11"/>
    </row>
    <row r="15" spans="1:303">
      <c r="F15" s="12"/>
      <c r="H15" s="13"/>
      <c r="R15" s="9"/>
      <c r="DS15" s="10"/>
      <c r="GS15" s="11"/>
    </row>
    <row r="16" spans="1:303">
      <c r="F16" s="7"/>
      <c r="H16" s="8"/>
      <c r="R16" s="9"/>
      <c r="DS16" s="10"/>
      <c r="GS16" s="11"/>
    </row>
    <row r="17" spans="6:201">
      <c r="F17" s="12"/>
      <c r="H17" s="13"/>
      <c r="R17" s="9"/>
      <c r="DS17" s="10"/>
      <c r="GS17" s="11"/>
    </row>
    <row r="18" spans="6:201">
      <c r="F18" s="7"/>
      <c r="H18" s="8"/>
      <c r="R18" s="9"/>
      <c r="DS18" s="10"/>
      <c r="GS18" s="11"/>
    </row>
    <row r="19" spans="6:201">
      <c r="F19" s="12"/>
      <c r="H19" s="13"/>
      <c r="R19" s="9"/>
      <c r="DS19" s="10"/>
      <c r="GS19" s="11"/>
    </row>
    <row r="20" spans="6:201">
      <c r="F20" s="7"/>
      <c r="H20" s="8"/>
      <c r="R20" s="9"/>
      <c r="DS20" s="10"/>
      <c r="GS20" s="11"/>
    </row>
    <row r="21" spans="6:201">
      <c r="F21" s="12"/>
      <c r="H21" s="13"/>
      <c r="R21" s="9"/>
      <c r="DS21" s="10"/>
      <c r="GS21" s="11"/>
    </row>
    <row r="22" spans="6:201">
      <c r="F22" s="7"/>
      <c r="H22" s="8"/>
      <c r="R22" s="9"/>
      <c r="DS22" s="10"/>
      <c r="GS22" s="11"/>
    </row>
    <row r="23" spans="6:201">
      <c r="F23" s="12"/>
      <c r="H23" s="13"/>
      <c r="R23" s="9"/>
      <c r="DS23" s="10"/>
      <c r="GS23" s="11"/>
    </row>
    <row r="24" spans="6:201">
      <c r="F24" s="7"/>
      <c r="H24" s="8"/>
      <c r="R24" s="9"/>
      <c r="DS24" s="10"/>
      <c r="GS24" s="11"/>
    </row>
    <row r="25" spans="6:201">
      <c r="F25" s="12"/>
      <c r="H25" s="13"/>
      <c r="R25" s="9"/>
      <c r="DS25" s="10"/>
      <c r="GS25" s="11"/>
    </row>
    <row r="26" spans="6:201">
      <c r="F26" s="7"/>
      <c r="H26" s="8"/>
      <c r="R26" s="9"/>
      <c r="DS26" s="10"/>
    </row>
    <row r="27" spans="6:201">
      <c r="F27" s="12"/>
      <c r="H27" s="13"/>
      <c r="R27" s="9"/>
      <c r="DS27" s="10"/>
      <c r="GS27" s="11"/>
    </row>
    <row r="28" spans="6:201">
      <c r="F28" s="7"/>
      <c r="H28" s="8"/>
      <c r="R28" s="9"/>
      <c r="DS28" s="10"/>
      <c r="GS28" s="11"/>
    </row>
    <row r="29" spans="6:201">
      <c r="F29" s="12"/>
      <c r="H29" s="13"/>
      <c r="R29" s="9"/>
      <c r="DS29" s="10"/>
      <c r="GS29" s="11"/>
    </row>
    <row r="30" spans="6:201">
      <c r="F30" s="7"/>
      <c r="H30" s="8"/>
      <c r="R30" s="9"/>
      <c r="DS30" s="10"/>
      <c r="GS30" s="11"/>
    </row>
    <row r="31" spans="6:201">
      <c r="F31" s="12"/>
      <c r="H31" s="13"/>
      <c r="R31" s="9"/>
      <c r="DS31" s="10"/>
      <c r="GS31" s="11"/>
    </row>
    <row r="32" spans="6:201">
      <c r="F32" s="7"/>
      <c r="H32" s="8"/>
      <c r="R32" s="9"/>
      <c r="DS32" s="10"/>
      <c r="GS32" s="11"/>
    </row>
    <row r="33" spans="6:201">
      <c r="F33" s="12"/>
      <c r="H33" s="13"/>
      <c r="R33" s="9"/>
      <c r="DS33" s="10"/>
      <c r="GS33" s="11"/>
    </row>
    <row r="34" spans="6:201">
      <c r="F34" s="7"/>
      <c r="H34" s="8"/>
      <c r="R34" s="9"/>
      <c r="DS34" s="10"/>
      <c r="GS34" s="11"/>
    </row>
    <row r="35" spans="6:201">
      <c r="F35" s="12"/>
      <c r="H35" s="13"/>
      <c r="R35" s="9"/>
      <c r="DS35" s="10"/>
      <c r="GS35" s="11"/>
    </row>
    <row r="36" spans="6:201">
      <c r="F36" s="7"/>
      <c r="H36" s="8"/>
      <c r="R36" s="9"/>
      <c r="DS36" s="10"/>
      <c r="GS36" s="11"/>
    </row>
    <row r="37" spans="6:201">
      <c r="F37" s="12"/>
      <c r="H37" s="13"/>
      <c r="R37" s="9"/>
      <c r="DS37" s="10"/>
      <c r="GS37" s="11"/>
    </row>
    <row r="38" spans="6:201">
      <c r="F38" s="7"/>
      <c r="H38" s="8"/>
      <c r="R38" s="9"/>
      <c r="DS38" s="10"/>
      <c r="GS38" s="11"/>
    </row>
    <row r="39" spans="6:201">
      <c r="F39" s="12"/>
      <c r="H39" s="13"/>
      <c r="R39" s="9"/>
      <c r="DS39" s="10"/>
      <c r="GS39" s="11"/>
    </row>
    <row r="40" spans="6:201">
      <c r="F40" s="7"/>
      <c r="H40" s="8"/>
      <c r="R40" s="9"/>
      <c r="DS40" s="10"/>
      <c r="GS40" s="11"/>
    </row>
    <row r="41" spans="6:201">
      <c r="F41" s="12"/>
      <c r="H41" s="13"/>
      <c r="R41" s="9"/>
      <c r="DS41" s="10"/>
      <c r="GS41" s="11"/>
    </row>
    <row r="42" spans="6:201">
      <c r="F42" s="7"/>
      <c r="H42" s="8"/>
      <c r="R42" s="9"/>
      <c r="DS42" s="10"/>
      <c r="GS42" s="11"/>
    </row>
    <row r="43" spans="6:201">
      <c r="F43" s="12"/>
      <c r="H43" s="13"/>
      <c r="R43" s="9"/>
      <c r="DS43" s="10"/>
      <c r="GS43" s="11"/>
    </row>
    <row r="44" spans="6:201">
      <c r="F44" s="7"/>
      <c r="H44" s="8"/>
      <c r="R44" s="9"/>
      <c r="DS44" s="10"/>
      <c r="GS44" s="11"/>
    </row>
    <row r="45" spans="6:201">
      <c r="F45" s="12"/>
      <c r="H45" s="13"/>
      <c r="R45" s="9"/>
      <c r="DS45" s="10"/>
      <c r="GS45" s="11"/>
    </row>
    <row r="46" spans="6:201">
      <c r="F46" s="7"/>
      <c r="H46" s="8"/>
      <c r="R46" s="9"/>
      <c r="DS46" s="10"/>
      <c r="GS46" s="11"/>
    </row>
    <row r="47" spans="6:201">
      <c r="F47" s="12"/>
      <c r="H47" s="13"/>
      <c r="R47" s="9"/>
      <c r="DS47" s="10"/>
      <c r="GS47" s="11"/>
    </row>
    <row r="48" spans="6:201">
      <c r="F48" s="7"/>
      <c r="H48" s="8"/>
      <c r="R48" s="9"/>
      <c r="DS48" s="10"/>
      <c r="GS48" s="11"/>
    </row>
    <row r="49" spans="6:201">
      <c r="F49" s="12"/>
      <c r="H49" s="13"/>
      <c r="R49" s="9"/>
      <c r="DS49" s="10"/>
      <c r="GS49" s="11"/>
    </row>
    <row r="50" spans="6:201">
      <c r="F50" s="7"/>
      <c r="H50" s="8"/>
      <c r="R50" s="9"/>
      <c r="DS50" s="10"/>
      <c r="GS50" s="11"/>
    </row>
    <row r="51" spans="6:201">
      <c r="F51" s="12"/>
      <c r="H51" s="13"/>
      <c r="R51" s="9"/>
      <c r="DS51" s="10"/>
    </row>
    <row r="52" spans="6:201">
      <c r="F52" s="7"/>
      <c r="H52" s="8"/>
      <c r="R52" s="9"/>
      <c r="DS52" s="10"/>
      <c r="GS52" s="11"/>
    </row>
    <row r="53" spans="6:201">
      <c r="F53" s="12"/>
      <c r="H53" s="13"/>
      <c r="R53" s="9"/>
      <c r="DS53" s="10"/>
      <c r="GS53" s="11"/>
    </row>
    <row r="54" spans="6:201">
      <c r="F54" s="7"/>
      <c r="H54" s="8"/>
      <c r="R54" s="9"/>
      <c r="DS54" s="10"/>
      <c r="GS54" s="11"/>
    </row>
    <row r="55" spans="6:201">
      <c r="F55" s="12"/>
      <c r="H55" s="13"/>
      <c r="R55" s="9"/>
      <c r="DS55" s="10"/>
      <c r="GS55" s="11"/>
    </row>
    <row r="56" spans="6:201">
      <c r="F56" s="7"/>
      <c r="H56" s="8"/>
      <c r="R56" s="9"/>
      <c r="DS56" s="10"/>
      <c r="GS56" s="11"/>
    </row>
    <row r="57" spans="6:201">
      <c r="F57" s="12"/>
      <c r="H57" s="13"/>
      <c r="R57" s="9"/>
      <c r="DS57" s="10"/>
      <c r="GS57" s="11"/>
    </row>
    <row r="58" spans="6:201">
      <c r="F58" s="7"/>
      <c r="H58" s="8"/>
      <c r="R58" s="9"/>
      <c r="DS58" s="10"/>
      <c r="GS58" s="11"/>
    </row>
    <row r="59" spans="6:201">
      <c r="F59" s="12"/>
      <c r="H59" s="13"/>
      <c r="R59" s="9"/>
      <c r="DS59" s="10"/>
      <c r="GS59" s="11"/>
    </row>
    <row r="60" spans="6:201">
      <c r="F60" s="7"/>
      <c r="H60" s="8"/>
      <c r="R60" s="9"/>
      <c r="DS60" s="10"/>
      <c r="GS60" s="11"/>
    </row>
    <row r="61" spans="6:201">
      <c r="F61" s="12"/>
      <c r="H61" s="13"/>
      <c r="R61" s="9"/>
      <c r="DS61" s="10"/>
      <c r="GS61" s="11"/>
    </row>
    <row r="62" spans="6:201">
      <c r="F62" s="7"/>
      <c r="H62" s="8"/>
      <c r="R62" s="9"/>
      <c r="DS62" s="10"/>
      <c r="GS62" s="11"/>
    </row>
    <row r="63" spans="6:201">
      <c r="F63" s="12"/>
      <c r="H63" s="13"/>
      <c r="R63" s="9"/>
      <c r="DS63" s="10"/>
      <c r="GS63" s="11"/>
    </row>
    <row r="64" spans="6:201">
      <c r="F64" s="7"/>
      <c r="H64" s="8"/>
      <c r="R64" s="9"/>
      <c r="DS64" s="10"/>
      <c r="GS64" s="11"/>
    </row>
    <row r="65" spans="6:201">
      <c r="F65" s="12"/>
      <c r="H65" s="13"/>
      <c r="R65" s="9"/>
      <c r="DS65" s="10"/>
      <c r="GS65" s="11"/>
    </row>
    <row r="66" spans="6:201">
      <c r="F66" s="7"/>
      <c r="H66" s="8"/>
      <c r="R66" s="9"/>
      <c r="DS66" s="10"/>
      <c r="GS66" s="11"/>
    </row>
    <row r="67" spans="6:201">
      <c r="F67" s="12"/>
      <c r="H67" s="13"/>
      <c r="R67" s="9"/>
      <c r="DS67" s="10"/>
      <c r="GS67" s="11"/>
    </row>
    <row r="68" spans="6:201">
      <c r="F68" s="7"/>
      <c r="H68" s="8"/>
      <c r="R68" s="9"/>
      <c r="DS68" s="10"/>
      <c r="GS68" s="11"/>
    </row>
    <row r="69" spans="6:201">
      <c r="F69" s="12"/>
      <c r="H69" s="13"/>
      <c r="R69" s="9"/>
      <c r="DS69" s="10"/>
      <c r="GS69" s="11"/>
    </row>
    <row r="70" spans="6:201">
      <c r="F70" s="7"/>
      <c r="H70" s="8"/>
      <c r="R70" s="9"/>
      <c r="DS70" s="10"/>
      <c r="GS70" s="11"/>
    </row>
    <row r="71" spans="6:201">
      <c r="F71" s="12"/>
      <c r="H71" s="13"/>
      <c r="R71" s="9"/>
      <c r="DS71" s="10"/>
      <c r="GS71" s="11"/>
    </row>
    <row r="72" spans="6:201">
      <c r="F72" s="7"/>
      <c r="H72" s="8"/>
      <c r="R72" s="9"/>
      <c r="DS72" s="10"/>
      <c r="GS72" s="11"/>
    </row>
    <row r="73" spans="6:201">
      <c r="F73" s="12"/>
      <c r="H73" s="13"/>
      <c r="R73" s="9"/>
      <c r="DS73" s="10"/>
      <c r="GS73" s="11"/>
    </row>
    <row r="74" spans="6:201">
      <c r="F74" s="7"/>
      <c r="H74" s="8"/>
      <c r="R74" s="9"/>
      <c r="DS74" s="10"/>
      <c r="GS74" s="11"/>
    </row>
    <row r="75" spans="6:201">
      <c r="F75" s="12"/>
      <c r="H75" s="13"/>
      <c r="R75" s="9"/>
      <c r="DS75" s="10"/>
      <c r="GS75" s="11"/>
    </row>
    <row r="76" spans="6:201">
      <c r="F76" s="7"/>
      <c r="H76" s="8"/>
      <c r="R76" s="9"/>
      <c r="DS76" s="10"/>
      <c r="GS76" s="11"/>
    </row>
    <row r="77" spans="6:201">
      <c r="F77" s="12"/>
      <c r="H77" s="13"/>
      <c r="R77" s="9"/>
      <c r="DS77" s="10"/>
      <c r="GS77" s="11"/>
    </row>
    <row r="78" spans="6:201">
      <c r="F78" s="7"/>
      <c r="H78" s="8"/>
      <c r="R78" s="9"/>
      <c r="DS78" s="10"/>
      <c r="GS78" s="11"/>
    </row>
    <row r="79" spans="6:201">
      <c r="F79" s="12"/>
      <c r="H79" s="13"/>
      <c r="R79" s="9"/>
      <c r="DS79" s="10"/>
    </row>
    <row r="80" spans="6:201">
      <c r="F80" s="7"/>
      <c r="H80" s="8"/>
      <c r="R80" s="9"/>
      <c r="DS80" s="10"/>
      <c r="GS80" s="11"/>
    </row>
    <row r="81" spans="6:201">
      <c r="F81" s="12"/>
      <c r="H81" s="13"/>
      <c r="R81" s="9"/>
      <c r="DS81" s="10"/>
      <c r="GS81" s="11"/>
    </row>
    <row r="82" spans="6:201">
      <c r="F82" s="7"/>
      <c r="H82" s="8"/>
      <c r="R82" s="9"/>
      <c r="DS82" s="10"/>
      <c r="GS82" s="11"/>
    </row>
    <row r="83" spans="6:201">
      <c r="F83" s="12"/>
      <c r="H83" s="13"/>
      <c r="R83" s="9"/>
      <c r="DS83" s="10"/>
      <c r="GS83" s="11"/>
    </row>
    <row r="84" spans="6:201">
      <c r="F84" s="7"/>
      <c r="H84" s="8"/>
      <c r="R84" s="9"/>
      <c r="DS84" s="10"/>
      <c r="GS84" s="11"/>
    </row>
    <row r="85" spans="6:201">
      <c r="F85" s="12"/>
      <c r="H85" s="13"/>
      <c r="R85" s="9"/>
      <c r="DS85" s="10"/>
      <c r="GS85" s="11"/>
    </row>
    <row r="86" spans="6:201">
      <c r="F86" s="7"/>
      <c r="H86" s="8"/>
      <c r="R86" s="9"/>
      <c r="DS86" s="10"/>
      <c r="GS86" s="11"/>
    </row>
    <row r="87" spans="6:201">
      <c r="F87" s="12"/>
      <c r="H87" s="13"/>
      <c r="R87" s="9"/>
      <c r="DS87" s="10"/>
      <c r="GS87" s="11"/>
    </row>
    <row r="88" spans="6:201">
      <c r="F88" s="7"/>
      <c r="H88" s="8"/>
      <c r="R88" s="9"/>
      <c r="DS88" s="10"/>
      <c r="GS88" s="11"/>
    </row>
    <row r="89" spans="6:201">
      <c r="F89" s="12"/>
      <c r="H89" s="13"/>
      <c r="R89" s="9"/>
      <c r="DS89" s="10"/>
      <c r="GS89" s="11"/>
    </row>
    <row r="90" spans="6:201">
      <c r="F90" s="7"/>
      <c r="H90" s="8"/>
      <c r="R90" s="9"/>
      <c r="DS90" s="10"/>
      <c r="GS90" s="11"/>
    </row>
    <row r="91" spans="6:201">
      <c r="F91" s="12"/>
      <c r="H91" s="13"/>
      <c r="R91" s="9"/>
      <c r="DS91" s="10"/>
      <c r="GS91" s="11"/>
    </row>
    <row r="92" spans="6:201">
      <c r="F92" s="7"/>
      <c r="H92" s="8"/>
      <c r="R92" s="9"/>
      <c r="DS92" s="10"/>
      <c r="GS92" s="11"/>
    </row>
    <row r="93" spans="6:201">
      <c r="F93" s="12"/>
      <c r="H93" s="13"/>
      <c r="R93" s="9"/>
      <c r="DS93" s="10"/>
      <c r="GS93" s="11"/>
    </row>
    <row r="94" spans="6:201">
      <c r="F94" s="7"/>
      <c r="H94" s="8"/>
      <c r="R94" s="9"/>
      <c r="DO94" s="15"/>
      <c r="DS94" s="10"/>
      <c r="GS94" s="11"/>
    </row>
    <row r="95" spans="6:201">
      <c r="F95" s="12"/>
      <c r="H95" s="13"/>
      <c r="R95" s="9"/>
      <c r="DS95" s="10"/>
      <c r="GS95" s="11"/>
    </row>
    <row r="96" spans="6:201">
      <c r="F96" s="7"/>
      <c r="H96" s="8"/>
      <c r="R96" s="9"/>
      <c r="DS96" s="10"/>
      <c r="GS96" s="11"/>
    </row>
    <row r="97" spans="6:201">
      <c r="F97" s="12"/>
      <c r="H97" s="13"/>
      <c r="R97" s="9"/>
      <c r="DS97" s="10"/>
      <c r="GS97" s="11"/>
    </row>
    <row r="98" spans="6:201">
      <c r="F98" s="7"/>
      <c r="H98" s="8"/>
      <c r="R98" s="9"/>
      <c r="DS98" s="10"/>
      <c r="GS98" s="11"/>
    </row>
    <row r="99" spans="6:201">
      <c r="F99" s="12"/>
      <c r="H99" s="13"/>
      <c r="R99" s="9"/>
      <c r="DS99" s="10"/>
      <c r="GS99" s="11"/>
    </row>
    <row r="100" spans="6:201">
      <c r="F100" s="7"/>
      <c r="H100" s="8"/>
      <c r="R100" s="9"/>
      <c r="DS100" s="10"/>
      <c r="GS100" s="11"/>
    </row>
    <row r="101" spans="6:201">
      <c r="F101" s="12"/>
      <c r="H101" s="13"/>
      <c r="R101" s="9"/>
      <c r="DS101" s="10"/>
      <c r="GS101" s="11"/>
    </row>
    <row r="102" spans="6:201">
      <c r="F102" s="7"/>
      <c r="H102" s="8"/>
      <c r="R102" s="9"/>
      <c r="DS102" s="10"/>
      <c r="GS102" s="12"/>
    </row>
    <row r="103" spans="6:201">
      <c r="F103" s="12"/>
      <c r="H103" s="13"/>
      <c r="R103" s="9"/>
      <c r="DS103" s="10"/>
      <c r="GS103" s="12"/>
    </row>
    <row r="104" spans="6:201">
      <c r="F104" s="7"/>
      <c r="H104" s="8"/>
      <c r="R104" s="9"/>
      <c r="DS104" s="10"/>
    </row>
    <row r="105" spans="6:201">
      <c r="F105" s="12"/>
      <c r="H105" s="13"/>
      <c r="R105" s="9"/>
      <c r="DS105" s="10"/>
      <c r="GS105" s="12"/>
    </row>
    <row r="106" spans="6:201">
      <c r="F106" s="7"/>
      <c r="H106" s="8"/>
      <c r="R106" s="9"/>
      <c r="DS106" s="10"/>
      <c r="GS106" s="12"/>
    </row>
    <row r="107" spans="6:201">
      <c r="F107" s="12"/>
      <c r="H107" s="13"/>
      <c r="R107" s="9"/>
      <c r="DS107" s="10"/>
      <c r="GS107" s="12"/>
    </row>
    <row r="108" spans="6:201">
      <c r="F108" s="7"/>
      <c r="H108" s="8"/>
      <c r="R108" s="9"/>
      <c r="DS108" s="10"/>
      <c r="GS108" s="12"/>
    </row>
    <row r="109" spans="6:201">
      <c r="F109" s="12"/>
      <c r="H109" s="13"/>
      <c r="R109" s="9"/>
      <c r="DS109" s="10"/>
      <c r="GS109" s="16"/>
    </row>
    <row r="110" spans="6:201">
      <c r="F110" s="7"/>
      <c r="H110" s="8"/>
      <c r="R110" s="9"/>
      <c r="DS110" s="10"/>
      <c r="GS110" s="16"/>
    </row>
    <row r="111" spans="6:201">
      <c r="F111" s="12"/>
      <c r="H111" s="13"/>
      <c r="R111" s="9"/>
      <c r="DS111" s="10"/>
      <c r="GS111" s="16"/>
    </row>
    <row r="112" spans="6:201">
      <c r="F112" s="7"/>
      <c r="H112" s="8"/>
      <c r="R112" s="9"/>
      <c r="DS112" s="10"/>
      <c r="GS112" s="16"/>
    </row>
    <row r="113" spans="6:201">
      <c r="F113" s="12"/>
      <c r="H113" s="13"/>
      <c r="R113" s="9"/>
      <c r="DS113" s="10"/>
      <c r="GS113" s="16"/>
    </row>
    <row r="114" spans="6:201">
      <c r="F114" s="7"/>
      <c r="H114" s="8"/>
      <c r="R114" s="9"/>
      <c r="DS114" s="10"/>
      <c r="GS114" s="16"/>
    </row>
    <row r="115" spans="6:201">
      <c r="F115" s="12"/>
      <c r="H115" s="13"/>
      <c r="R115" s="9"/>
      <c r="DS115" s="10"/>
      <c r="GS115" s="16"/>
    </row>
    <row r="116" spans="6:201">
      <c r="F116" s="7"/>
      <c r="H116" s="8"/>
      <c r="R116" s="9"/>
      <c r="DS116" s="10"/>
      <c r="GS116" s="16"/>
    </row>
    <row r="117" spans="6:201">
      <c r="F117" s="12"/>
      <c r="H117" s="13"/>
      <c r="R117" s="9"/>
      <c r="DS117" s="10"/>
      <c r="GS117" s="12"/>
    </row>
    <row r="118" spans="6:201">
      <c r="F118" s="7"/>
      <c r="H118" s="8"/>
      <c r="R118" s="9"/>
      <c r="DS118" s="10"/>
      <c r="GS118" s="12"/>
    </row>
    <row r="119" spans="6:201">
      <c r="F119" s="12"/>
      <c r="H119" s="13"/>
      <c r="R119" s="9"/>
      <c r="DS119" s="10"/>
      <c r="GS119" s="12"/>
    </row>
    <row r="120" spans="6:201">
      <c r="F120" s="7"/>
      <c r="H120" s="8"/>
      <c r="R120" s="9"/>
      <c r="DS120" s="10"/>
      <c r="GS120" s="12"/>
    </row>
    <row r="121" spans="6:201">
      <c r="F121" s="12"/>
      <c r="H121" s="13"/>
      <c r="R121" s="9"/>
      <c r="DS121" s="10"/>
      <c r="GS121" s="12"/>
    </row>
    <row r="122" spans="6:201">
      <c r="F122" s="7"/>
      <c r="H122" s="8"/>
      <c r="R122" s="9"/>
      <c r="DS122" s="10"/>
      <c r="GS122" s="12"/>
    </row>
    <row r="123" spans="6:201">
      <c r="F123" s="12"/>
      <c r="H123" s="13"/>
      <c r="R123" s="9"/>
      <c r="DS123" s="10"/>
      <c r="GS123" s="12"/>
    </row>
    <row r="124" spans="6:201">
      <c r="F124" s="7"/>
      <c r="H124" s="8"/>
      <c r="R124" s="9"/>
      <c r="DS124" s="10"/>
      <c r="GS124" s="12"/>
    </row>
    <row r="125" spans="6:201">
      <c r="F125" s="12"/>
      <c r="H125" s="13"/>
      <c r="R125" s="9"/>
      <c r="DS125" s="10"/>
      <c r="GS125" s="12"/>
    </row>
    <row r="126" spans="6:201">
      <c r="F126" s="7"/>
      <c r="H126" s="8"/>
      <c r="R126" s="9"/>
      <c r="DS126" s="10"/>
      <c r="GS126" s="12"/>
    </row>
    <row r="127" spans="6:201">
      <c r="F127" s="12"/>
      <c r="H127" s="13"/>
      <c r="R127" s="9"/>
      <c r="DS127" s="10"/>
      <c r="GS127" s="12"/>
    </row>
    <row r="128" spans="6:201">
      <c r="F128" s="7"/>
      <c r="H128" s="8"/>
      <c r="R128" s="9"/>
      <c r="DS128" s="10"/>
      <c r="GS128" s="12"/>
    </row>
    <row r="129" spans="6:201">
      <c r="F129" s="12"/>
      <c r="H129" s="13"/>
      <c r="R129" s="9"/>
      <c r="DS129" s="10"/>
      <c r="GS129" s="16"/>
    </row>
    <row r="130" spans="6:201">
      <c r="F130" s="7"/>
      <c r="H130" s="8"/>
      <c r="R130" s="9"/>
      <c r="DS130" s="10"/>
      <c r="GS130" s="12"/>
    </row>
    <row r="131" spans="6:201">
      <c r="F131" s="12"/>
      <c r="H131" s="13"/>
      <c r="R131" s="9"/>
      <c r="DS131" s="10"/>
      <c r="GS131" s="12"/>
    </row>
    <row r="132" spans="6:201">
      <c r="F132" s="7"/>
      <c r="H132" s="8"/>
      <c r="R132" s="9"/>
      <c r="DS132" s="10"/>
      <c r="GS132" s="12"/>
    </row>
    <row r="133" spans="6:201">
      <c r="F133" s="12"/>
      <c r="H133" s="13"/>
      <c r="R133" s="9"/>
      <c r="DS133" s="10"/>
      <c r="GS133" s="12"/>
    </row>
    <row r="134" spans="6:201">
      <c r="F134" s="7"/>
      <c r="H134" s="8"/>
      <c r="R134" s="9"/>
      <c r="DS134" s="10"/>
      <c r="GS134" s="12"/>
    </row>
    <row r="135" spans="6:201">
      <c r="F135" s="12"/>
      <c r="H135" s="13"/>
      <c r="R135" s="9"/>
      <c r="DS135" s="10"/>
      <c r="GS135" s="12"/>
    </row>
    <row r="136" spans="6:201">
      <c r="F136" s="7"/>
      <c r="H136" s="8"/>
      <c r="R136" s="9"/>
      <c r="DS136" s="10"/>
      <c r="GS136" s="12"/>
    </row>
    <row r="137" spans="6:201">
      <c r="F137" s="12"/>
      <c r="H137" s="13"/>
      <c r="R137" s="9"/>
      <c r="DS137" s="10"/>
      <c r="GS137" s="12"/>
    </row>
    <row r="138" spans="6:201">
      <c r="F138" s="7"/>
      <c r="H138" s="8"/>
      <c r="R138" s="9"/>
      <c r="DS138" s="10"/>
      <c r="GS138" s="12"/>
    </row>
    <row r="139" spans="6:201">
      <c r="F139" s="12"/>
      <c r="H139" s="13"/>
      <c r="R139" s="9"/>
      <c r="DS139" s="10"/>
      <c r="GS139" s="12"/>
    </row>
    <row r="140" spans="6:201">
      <c r="F140" s="7"/>
      <c r="H140" s="8"/>
      <c r="R140" s="9"/>
      <c r="DS140" s="10"/>
      <c r="GS140" s="12"/>
    </row>
    <row r="141" spans="6:201">
      <c r="F141" s="12"/>
      <c r="H141" s="13"/>
      <c r="R141" s="9"/>
      <c r="DS141" s="10"/>
      <c r="GS141" s="12"/>
    </row>
    <row r="142" spans="6:201">
      <c r="F142" s="7"/>
      <c r="H142" s="8"/>
      <c r="R142" s="9"/>
      <c r="DS142" s="10"/>
      <c r="GS142" s="12"/>
    </row>
    <row r="143" spans="6:201">
      <c r="F143" s="12"/>
      <c r="H143" s="13"/>
      <c r="R143" s="9"/>
      <c r="DS143" s="10"/>
      <c r="GS143" s="12"/>
    </row>
    <row r="144" spans="6:201">
      <c r="F144" s="7"/>
      <c r="H144" s="8"/>
      <c r="R144" s="9"/>
      <c r="DS144" s="10"/>
      <c r="GS144" s="12"/>
    </row>
    <row r="145" spans="6:201">
      <c r="F145" s="12"/>
      <c r="H145" s="13"/>
      <c r="R145" s="9"/>
      <c r="DS145" s="10"/>
      <c r="GS145" s="12"/>
    </row>
    <row r="146" spans="6:201">
      <c r="F146" s="7"/>
      <c r="H146" s="8"/>
      <c r="R146" s="9"/>
      <c r="DS146" s="10"/>
      <c r="GS146" s="12"/>
    </row>
    <row r="147" spans="6:201">
      <c r="F147" s="12"/>
      <c r="H147" s="13"/>
      <c r="R147" s="9"/>
      <c r="DS147" s="10"/>
      <c r="GS147" s="12"/>
    </row>
    <row r="148" spans="6:201">
      <c r="F148" s="7"/>
      <c r="H148" s="8"/>
      <c r="R148" s="9"/>
      <c r="DS148" s="10"/>
      <c r="GS148" s="12"/>
    </row>
    <row r="149" spans="6:201">
      <c r="F149" s="12"/>
      <c r="H149" s="13"/>
      <c r="R149" s="9"/>
      <c r="DS149" s="10"/>
      <c r="GS149" s="12"/>
    </row>
    <row r="150" spans="6:201">
      <c r="F150" s="7"/>
      <c r="H150" s="8"/>
      <c r="R150" s="9"/>
      <c r="DS150" s="10"/>
      <c r="GS150" s="12"/>
    </row>
    <row r="151" spans="6:201">
      <c r="F151" s="12"/>
      <c r="H151" s="13"/>
      <c r="R151" s="9"/>
      <c r="DS151" s="10"/>
      <c r="GS151" s="16"/>
    </row>
    <row r="152" spans="6:201">
      <c r="F152" s="7"/>
      <c r="H152" s="8"/>
      <c r="R152" s="9"/>
      <c r="DS152" s="10"/>
      <c r="GS152" s="12"/>
    </row>
    <row r="153" spans="6:201">
      <c r="F153" s="12"/>
      <c r="H153" s="13"/>
      <c r="R153" s="9"/>
      <c r="DS153" s="10"/>
      <c r="GS153" s="12"/>
    </row>
    <row r="154" spans="6:201">
      <c r="F154" s="7"/>
      <c r="H154" s="8"/>
      <c r="R154" s="9"/>
      <c r="DS154" s="10"/>
      <c r="GS154" s="12"/>
    </row>
    <row r="155" spans="6:201">
      <c r="F155" s="12"/>
      <c r="H155" s="13"/>
      <c r="R155" s="9"/>
      <c r="DS155" s="10"/>
      <c r="GS155" s="12"/>
    </row>
    <row r="156" spans="6:201">
      <c r="F156" s="7"/>
      <c r="H156" s="8"/>
      <c r="R156" s="9"/>
      <c r="DS156" s="10"/>
      <c r="GS156" s="12"/>
    </row>
    <row r="157" spans="6:201">
      <c r="F157" s="12"/>
      <c r="H157" s="13"/>
      <c r="R157" s="9"/>
      <c r="DS157" s="10"/>
      <c r="GS157" s="12"/>
    </row>
    <row r="158" spans="6:201">
      <c r="F158" s="7"/>
      <c r="H158" s="8"/>
      <c r="R158" s="9"/>
      <c r="DS158" s="10"/>
      <c r="GS158" s="12"/>
    </row>
    <row r="159" spans="6:201">
      <c r="F159" s="12"/>
      <c r="H159" s="13"/>
      <c r="R159" s="9"/>
      <c r="DS159" s="10"/>
      <c r="GS159" s="12"/>
    </row>
    <row r="160" spans="6:201">
      <c r="F160" s="7"/>
      <c r="H160" s="8"/>
      <c r="R160" s="9"/>
      <c r="DS160" s="10"/>
      <c r="GS160" s="12"/>
    </row>
    <row r="161" spans="6:201">
      <c r="F161" s="12"/>
      <c r="H161" s="13"/>
      <c r="R161" s="9"/>
      <c r="DS161" s="10"/>
      <c r="GS161" s="12"/>
    </row>
    <row r="162" spans="6:201">
      <c r="F162" s="7"/>
      <c r="H162" s="8"/>
      <c r="R162" s="9"/>
      <c r="DS162" s="10"/>
      <c r="GS162" s="12"/>
    </row>
    <row r="163" spans="6:201">
      <c r="F163" s="12"/>
      <c r="H163" s="13"/>
      <c r="R163" s="9"/>
      <c r="DS163" s="10"/>
      <c r="GS163" s="12"/>
    </row>
    <row r="164" spans="6:201">
      <c r="F164" s="7"/>
      <c r="H164" s="8"/>
      <c r="R164" s="9"/>
      <c r="DS164" s="10"/>
      <c r="GS164" s="12"/>
    </row>
    <row r="165" spans="6:201">
      <c r="F165" s="12"/>
      <c r="H165" s="13"/>
      <c r="R165" s="9"/>
      <c r="DS165" s="10"/>
      <c r="GS165" s="12"/>
    </row>
    <row r="166" spans="6:201">
      <c r="F166" s="7"/>
      <c r="H166" s="8"/>
      <c r="R166" s="9"/>
      <c r="DS166" s="10"/>
      <c r="GS166" s="12"/>
    </row>
    <row r="167" spans="6:201">
      <c r="F167" s="12"/>
      <c r="H167" s="13"/>
      <c r="R167" s="9"/>
      <c r="DS167" s="10"/>
      <c r="GS167" s="12"/>
    </row>
    <row r="168" spans="6:201">
      <c r="F168" s="7"/>
      <c r="H168" s="8"/>
      <c r="R168" s="9"/>
      <c r="DS168" s="10"/>
      <c r="GS168" s="12"/>
    </row>
    <row r="169" spans="6:201">
      <c r="F169" s="12"/>
      <c r="H169" s="13"/>
      <c r="R169" s="9"/>
      <c r="DS169" s="10"/>
      <c r="GS169" s="12"/>
    </row>
    <row r="170" spans="6:201">
      <c r="F170" s="7"/>
      <c r="H170" s="8"/>
      <c r="R170" s="9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DS170" s="10"/>
      <c r="GS170" s="12"/>
    </row>
    <row r="171" spans="6:201">
      <c r="F171" s="12"/>
      <c r="H171" s="13"/>
      <c r="R171" s="9"/>
      <c r="DS171" s="10"/>
      <c r="GS171" s="12"/>
    </row>
    <row r="172" spans="6:201">
      <c r="F172" s="7"/>
      <c r="H172" s="8"/>
      <c r="R172" s="9"/>
      <c r="DS172" s="10"/>
      <c r="GS172" s="12"/>
    </row>
    <row r="173" spans="6:201">
      <c r="F173" s="12"/>
      <c r="H173" s="13"/>
      <c r="R173" s="9"/>
      <c r="DS173" s="10"/>
      <c r="GS173" s="12"/>
    </row>
    <row r="174" spans="6:201">
      <c r="F174" s="7"/>
      <c r="H174" s="8"/>
      <c r="R174" s="9"/>
      <c r="DS174" s="10"/>
      <c r="GS174" s="12"/>
    </row>
    <row r="175" spans="6:201">
      <c r="F175" s="12"/>
      <c r="H175" s="13"/>
      <c r="R175" s="9"/>
      <c r="DS175" s="10"/>
      <c r="GS175" s="12"/>
    </row>
    <row r="176" spans="6:201">
      <c r="F176" s="7"/>
      <c r="H176" s="8"/>
      <c r="R176" s="9"/>
      <c r="DS176" s="10"/>
      <c r="GS176" s="12"/>
    </row>
    <row r="177" spans="6:201">
      <c r="F177" s="12"/>
      <c r="H177" s="13"/>
      <c r="R177" s="9"/>
      <c r="DS177" s="10"/>
      <c r="GS177" s="12"/>
    </row>
    <row r="178" spans="6:201">
      <c r="F178" s="7"/>
      <c r="H178" s="8"/>
      <c r="R178" s="9"/>
      <c r="DS178" s="10"/>
      <c r="GS178" s="12"/>
    </row>
    <row r="179" spans="6:201">
      <c r="F179" s="12"/>
      <c r="H179" s="13"/>
      <c r="R179" s="9"/>
      <c r="DS179" s="10"/>
      <c r="GS179" s="16"/>
    </row>
    <row r="180" spans="6:201">
      <c r="F180" s="7"/>
      <c r="H180" s="8"/>
      <c r="R180" s="9"/>
      <c r="DS180" s="10"/>
    </row>
    <row r="181" spans="6:201">
      <c r="F181" s="12"/>
      <c r="H181" s="13"/>
      <c r="R181" s="9"/>
      <c r="DS181" s="10"/>
      <c r="GS181" s="12"/>
    </row>
    <row r="182" spans="6:201">
      <c r="F182" s="7"/>
      <c r="H182" s="8"/>
      <c r="R182" s="9"/>
      <c r="DS182" s="10"/>
      <c r="GS182" s="12"/>
    </row>
    <row r="183" spans="6:201">
      <c r="F183" s="12"/>
      <c r="H183" s="13"/>
      <c r="R183" s="9"/>
      <c r="DS183" s="10"/>
      <c r="GS183" s="12"/>
    </row>
    <row r="184" spans="6:201">
      <c r="F184" s="7"/>
      <c r="H184" s="8"/>
      <c r="R184" s="9"/>
      <c r="DS184" s="10"/>
      <c r="GS184" s="12"/>
    </row>
    <row r="185" spans="6:201">
      <c r="F185" s="12"/>
      <c r="H185" s="13"/>
      <c r="R185" s="9"/>
      <c r="DS185" s="10"/>
      <c r="GS185" s="12"/>
    </row>
    <row r="186" spans="6:201">
      <c r="F186" s="7"/>
      <c r="H186" s="8"/>
      <c r="R186" s="9"/>
      <c r="DS186" s="10"/>
      <c r="GS186" s="12"/>
    </row>
    <row r="187" spans="6:201">
      <c r="F187" s="12"/>
      <c r="H187" s="13"/>
      <c r="R187" s="9"/>
      <c r="DS187" s="10"/>
      <c r="GS187" s="12"/>
    </row>
    <row r="188" spans="6:201">
      <c r="F188" s="7"/>
      <c r="H188" s="8"/>
      <c r="R188" s="9"/>
      <c r="DS188" s="10"/>
      <c r="GS188" s="12"/>
    </row>
    <row r="189" spans="6:201">
      <c r="F189" s="12"/>
      <c r="H189" s="13"/>
      <c r="R189" s="9"/>
      <c r="DS189" s="10"/>
      <c r="GS189" s="12"/>
    </row>
    <row r="190" spans="6:201">
      <c r="F190" s="7"/>
      <c r="H190" s="8"/>
      <c r="R190" s="9"/>
      <c r="DS190" s="10"/>
      <c r="GS190" s="12"/>
    </row>
    <row r="191" spans="6:201" ht="15.6" customHeight="1">
      <c r="F191" s="12"/>
      <c r="H191" s="13"/>
      <c r="R191" s="9"/>
      <c r="DS191" s="10"/>
      <c r="GS191" s="12"/>
    </row>
    <row r="192" spans="6:201">
      <c r="F192" s="7"/>
      <c r="H192" s="8"/>
      <c r="R192" s="9"/>
      <c r="DS192" s="10"/>
      <c r="GS192" s="12"/>
    </row>
    <row r="193" spans="6:201">
      <c r="F193" s="12"/>
      <c r="H193" s="13"/>
      <c r="R193" s="9"/>
      <c r="DS193" s="10"/>
      <c r="GS193" s="12"/>
    </row>
    <row r="194" spans="6:201">
      <c r="F194" s="7"/>
      <c r="H194" s="8"/>
      <c r="R194" s="9"/>
      <c r="DS194" s="10"/>
      <c r="GS194" s="12"/>
    </row>
    <row r="195" spans="6:201">
      <c r="F195" s="12"/>
      <c r="H195" s="13"/>
      <c r="R195" s="9"/>
      <c r="DS195" s="10"/>
      <c r="GS195" s="12"/>
    </row>
    <row r="196" spans="6:201">
      <c r="F196" s="7"/>
      <c r="H196" s="8"/>
      <c r="R196" s="9"/>
      <c r="DS196" s="10"/>
      <c r="GS196" s="12"/>
    </row>
    <row r="197" spans="6:201">
      <c r="F197" s="12"/>
      <c r="H197" s="13"/>
      <c r="R197" s="9"/>
      <c r="DS197" s="10"/>
      <c r="GS197" s="12"/>
    </row>
    <row r="198" spans="6:201">
      <c r="F198" s="7"/>
      <c r="H198" s="8"/>
      <c r="R198" s="9"/>
      <c r="DS198" s="10"/>
      <c r="GS198" s="12"/>
    </row>
    <row r="199" spans="6:201">
      <c r="F199" s="12"/>
      <c r="H199" s="13"/>
      <c r="R199" s="9"/>
      <c r="DS199" s="10"/>
      <c r="GS199" s="12"/>
    </row>
    <row r="200" spans="6:201">
      <c r="F200" s="7"/>
      <c r="H200" s="8"/>
      <c r="R200" s="9"/>
      <c r="DS200" s="10"/>
      <c r="GS200" s="12"/>
    </row>
    <row r="201" spans="6:201">
      <c r="F201" s="12"/>
      <c r="H201" s="13"/>
      <c r="R201" s="9"/>
      <c r="DS201" s="10"/>
      <c r="GS201" s="12"/>
    </row>
    <row r="202" spans="6:201">
      <c r="F202" s="7"/>
      <c r="H202" s="8"/>
      <c r="R202" s="9"/>
      <c r="DS202" s="10"/>
      <c r="GS202" s="12"/>
    </row>
    <row r="203" spans="6:201">
      <c r="F203" s="12"/>
      <c r="H203" s="13"/>
      <c r="R203" s="9"/>
      <c r="DS203" s="10"/>
      <c r="GS203" s="16"/>
    </row>
    <row r="204" spans="6:201">
      <c r="F204" s="7"/>
      <c r="H204" s="8"/>
      <c r="R204" s="9"/>
      <c r="DS204" s="10"/>
      <c r="GS204" s="16"/>
    </row>
    <row r="205" spans="6:201">
      <c r="F205" s="12"/>
      <c r="H205" s="13"/>
      <c r="R205" s="9"/>
      <c r="DS205" s="10"/>
      <c r="GS205" s="12"/>
    </row>
    <row r="206" spans="6:201">
      <c r="F206" s="7"/>
      <c r="H206" s="8"/>
      <c r="R206" s="9"/>
      <c r="DS206" s="10"/>
      <c r="GS206" s="12"/>
    </row>
    <row r="207" spans="6:201">
      <c r="F207" s="12"/>
      <c r="H207" s="13"/>
      <c r="R207" s="9"/>
      <c r="DS207" s="10"/>
      <c r="GS207" s="12"/>
    </row>
    <row r="208" spans="6:201">
      <c r="F208" s="7"/>
      <c r="H208" s="8"/>
      <c r="R208" s="9"/>
      <c r="DS208" s="10"/>
      <c r="GS208" s="12"/>
    </row>
    <row r="209" spans="6:201">
      <c r="F209" s="12"/>
      <c r="H209" s="13"/>
      <c r="R209" s="9"/>
      <c r="DS209" s="10"/>
      <c r="GS209" s="12"/>
    </row>
    <row r="210" spans="6:201">
      <c r="F210" s="7"/>
      <c r="H210" s="8"/>
      <c r="R210" s="9"/>
      <c r="DS210" s="10"/>
      <c r="GS210" s="12"/>
    </row>
    <row r="211" spans="6:201">
      <c r="F211" s="12"/>
      <c r="H211" s="13"/>
      <c r="R211" s="9"/>
      <c r="DS211" s="10"/>
      <c r="GS211" s="12"/>
    </row>
    <row r="212" spans="6:201">
      <c r="F212" s="7"/>
      <c r="H212" s="8"/>
      <c r="R212" s="9"/>
      <c r="DS212" s="10"/>
      <c r="GS212" s="12"/>
    </row>
    <row r="213" spans="6:201">
      <c r="F213" s="12"/>
      <c r="H213" s="13"/>
      <c r="R213" s="9"/>
      <c r="DS213" s="10"/>
      <c r="GS213" s="12"/>
    </row>
    <row r="214" spans="6:201">
      <c r="F214" s="7"/>
      <c r="H214" s="8"/>
      <c r="R214" s="9"/>
      <c r="DS214" s="10"/>
      <c r="GS214" s="12"/>
    </row>
    <row r="215" spans="6:201">
      <c r="F215" s="12"/>
      <c r="H215" s="13"/>
      <c r="R215" s="9"/>
      <c r="DS215" s="10"/>
      <c r="GS215" s="12"/>
    </row>
    <row r="216" spans="6:201">
      <c r="F216" s="7"/>
      <c r="H216" s="8"/>
      <c r="R216" s="9"/>
      <c r="DS216" s="10"/>
      <c r="GS216" s="12"/>
    </row>
    <row r="217" spans="6:201">
      <c r="F217" s="12"/>
      <c r="H217" s="13"/>
      <c r="R217" s="9"/>
      <c r="DS217" s="10"/>
      <c r="GS217" s="12"/>
    </row>
    <row r="218" spans="6:201">
      <c r="F218" s="7"/>
      <c r="H218" s="8"/>
      <c r="R218" s="9"/>
      <c r="DS218" s="10"/>
      <c r="GS218" s="12"/>
    </row>
    <row r="219" spans="6:201">
      <c r="F219" s="12"/>
      <c r="H219" s="13"/>
      <c r="R219" s="9"/>
      <c r="DS219" s="10"/>
      <c r="GS219" s="12"/>
    </row>
    <row r="220" spans="6:201">
      <c r="F220" s="7"/>
      <c r="H220" s="8"/>
      <c r="R220" s="9"/>
      <c r="DS220" s="10"/>
      <c r="GS220" s="12"/>
    </row>
    <row r="221" spans="6:201">
      <c r="F221" s="12"/>
      <c r="H221" s="13"/>
      <c r="R221" s="9"/>
      <c r="DS221" s="10"/>
      <c r="GS221" s="12"/>
    </row>
    <row r="222" spans="6:201">
      <c r="F222" s="7"/>
      <c r="H222" s="8"/>
      <c r="R222" s="9"/>
      <c r="DS222" s="10"/>
      <c r="GS222" s="12"/>
    </row>
    <row r="223" spans="6:201">
      <c r="F223" s="12"/>
      <c r="H223" s="13"/>
      <c r="R223" s="9"/>
      <c r="DS223" s="10"/>
      <c r="GS223" s="12"/>
    </row>
    <row r="224" spans="6:201">
      <c r="F224" s="7"/>
      <c r="H224" s="8"/>
      <c r="R224" s="9"/>
      <c r="DS224" s="10"/>
      <c r="GS224" s="12"/>
    </row>
    <row r="225" spans="6:201">
      <c r="F225" s="12"/>
      <c r="H225" s="13"/>
      <c r="R225" s="9"/>
      <c r="DS225" s="10"/>
      <c r="GS225" s="12"/>
    </row>
    <row r="226" spans="6:201">
      <c r="F226" s="7"/>
      <c r="H226" s="8"/>
      <c r="R226" s="9"/>
      <c r="DS226" s="10"/>
      <c r="GS226" s="16"/>
    </row>
    <row r="227" spans="6:201">
      <c r="F227" s="12"/>
      <c r="H227" s="13"/>
      <c r="R227" s="9"/>
      <c r="DS227" s="10"/>
      <c r="GS227" s="16"/>
    </row>
    <row r="228" spans="6:201">
      <c r="F228" s="7"/>
      <c r="H228" s="8"/>
      <c r="R228" s="9"/>
      <c r="DS228" s="10"/>
      <c r="GS228" s="12"/>
    </row>
    <row r="229" spans="6:201">
      <c r="F229" s="12"/>
      <c r="H229" s="13"/>
      <c r="R229" s="9"/>
      <c r="DS229" s="10"/>
      <c r="GS229" s="12"/>
    </row>
    <row r="230" spans="6:201">
      <c r="F230" s="7"/>
      <c r="H230" s="8"/>
      <c r="R230" s="9"/>
      <c r="DS230" s="10"/>
      <c r="GS230" s="12"/>
    </row>
    <row r="231" spans="6:201">
      <c r="F231" s="12"/>
      <c r="H231" s="13"/>
      <c r="R231" s="9"/>
      <c r="DS231" s="10"/>
      <c r="GS231" s="16"/>
    </row>
    <row r="232" spans="6:201">
      <c r="F232" s="7"/>
      <c r="H232" s="8"/>
      <c r="R232" s="9"/>
      <c r="DS232" s="10"/>
      <c r="GS232" s="16"/>
    </row>
    <row r="233" spans="6:201">
      <c r="F233" s="12"/>
      <c r="H233" s="13"/>
      <c r="R233" s="9"/>
      <c r="DS233" s="10"/>
      <c r="GS233" s="12"/>
    </row>
    <row r="234" spans="6:201">
      <c r="F234" s="7"/>
      <c r="H234" s="8"/>
      <c r="R234" s="9"/>
      <c r="DS234" s="10"/>
      <c r="GS234" s="12"/>
    </row>
    <row r="235" spans="6:201">
      <c r="F235" s="12"/>
      <c r="H235" s="13"/>
      <c r="R235" s="9"/>
      <c r="DS235" s="10"/>
      <c r="GS235" s="12"/>
    </row>
    <row r="236" spans="6:201">
      <c r="F236" s="7"/>
      <c r="H236" s="8"/>
      <c r="R236" s="9"/>
      <c r="DS236" s="10"/>
      <c r="GS236" s="12"/>
    </row>
    <row r="237" spans="6:201">
      <c r="F237" s="12"/>
      <c r="H237" s="13"/>
      <c r="R237" s="9"/>
      <c r="DS237" s="10"/>
      <c r="GS237" s="12"/>
    </row>
    <row r="238" spans="6:201">
      <c r="H238" s="17"/>
      <c r="R238" s="9"/>
      <c r="DS238" s="10"/>
      <c r="GS238" s="12"/>
    </row>
    <row r="239" spans="6:201">
      <c r="H239" s="17"/>
      <c r="R239" s="9"/>
      <c r="DS239" s="10"/>
      <c r="GS239" s="12"/>
    </row>
    <row r="240" spans="6:201">
      <c r="H240" s="17"/>
      <c r="R240" s="9"/>
      <c r="DS240" s="10"/>
      <c r="GS240" s="12"/>
    </row>
    <row r="241" spans="8:201">
      <c r="H241" s="17"/>
      <c r="R241" s="9"/>
      <c r="DS241" s="10"/>
      <c r="GS241" s="12"/>
    </row>
    <row r="242" spans="8:201">
      <c r="H242" s="17"/>
      <c r="R242" s="9"/>
      <c r="DS242" s="10"/>
      <c r="GS242" s="12"/>
    </row>
    <row r="243" spans="8:201">
      <c r="H243" s="17"/>
      <c r="R243" s="9"/>
      <c r="DS243" s="10"/>
      <c r="GS243" s="12"/>
    </row>
    <row r="244" spans="8:201">
      <c r="H244" s="17"/>
      <c r="R244" s="9"/>
      <c r="DS244" s="10"/>
      <c r="GS244" s="16"/>
    </row>
    <row r="245" spans="8:201">
      <c r="H245" s="17"/>
      <c r="R245" s="9"/>
      <c r="DS245" s="10"/>
      <c r="GS245" s="12"/>
    </row>
    <row r="246" spans="8:201">
      <c r="H246" s="17"/>
      <c r="R246" s="9"/>
      <c r="DS246" s="10"/>
      <c r="GS246" s="16"/>
    </row>
    <row r="247" spans="8:201">
      <c r="H247" s="17"/>
      <c r="R247" s="9"/>
      <c r="DS247" s="10"/>
      <c r="GS247" s="12"/>
    </row>
    <row r="248" spans="8:201">
      <c r="H248" s="17"/>
      <c r="R248" s="9"/>
      <c r="DS248" s="10"/>
      <c r="GS248" s="16"/>
    </row>
    <row r="249" spans="8:201">
      <c r="H249" s="17"/>
      <c r="R249" s="9"/>
      <c r="DS249" s="10"/>
      <c r="GS249" s="16"/>
    </row>
    <row r="250" spans="8:201">
      <c r="H250" s="17"/>
      <c r="R250" s="9"/>
      <c r="DS250" s="10"/>
      <c r="GS250" s="16"/>
    </row>
    <row r="251" spans="8:201">
      <c r="H251" s="17"/>
      <c r="R251" s="9"/>
      <c r="DS251" s="10"/>
      <c r="GS251" s="16"/>
    </row>
    <row r="252" spans="8:201">
      <c r="H252" s="17"/>
      <c r="R252" s="9"/>
      <c r="DS252" s="10"/>
      <c r="GS252" s="12"/>
    </row>
    <row r="253" spans="8:201">
      <c r="H253" s="17"/>
      <c r="R253" s="9"/>
      <c r="DS253" s="10"/>
      <c r="GS253" s="12"/>
    </row>
    <row r="254" spans="8:201">
      <c r="H254" s="17"/>
      <c r="R254" s="9"/>
      <c r="DS254" s="10"/>
      <c r="GS254" s="12"/>
    </row>
    <row r="255" spans="8:201">
      <c r="H255" s="17"/>
      <c r="R255" s="9"/>
      <c r="DS255" s="10"/>
      <c r="GS255" s="12"/>
    </row>
    <row r="256" spans="8:201">
      <c r="H256" s="17"/>
      <c r="R256" s="9"/>
      <c r="DS256" s="10"/>
      <c r="GS256" s="12"/>
    </row>
    <row r="257" spans="8:201">
      <c r="H257" s="17"/>
      <c r="R257" s="9"/>
      <c r="DS257" s="10"/>
      <c r="GS257" s="12"/>
    </row>
    <row r="258" spans="8:201">
      <c r="H258" s="17"/>
      <c r="R258" s="9"/>
      <c r="DS258" s="10"/>
      <c r="GS258" s="12"/>
    </row>
    <row r="259" spans="8:201">
      <c r="H259" s="17"/>
      <c r="R259" s="9"/>
      <c r="DS259" s="10"/>
    </row>
    <row r="260" spans="8:201">
      <c r="H260" s="17"/>
      <c r="R260" s="9"/>
      <c r="DS260" s="10"/>
    </row>
    <row r="261" spans="8:201">
      <c r="H261" s="17"/>
      <c r="R261" s="9"/>
      <c r="DS261" s="10"/>
    </row>
    <row r="262" spans="8:201">
      <c r="H262" s="17"/>
      <c r="R262" s="9"/>
      <c r="DS262" s="10"/>
    </row>
    <row r="263" spans="8:201">
      <c r="H263" s="17"/>
      <c r="R263" s="9"/>
      <c r="DS263" s="10"/>
    </row>
    <row r="264" spans="8:201">
      <c r="H264" s="17"/>
      <c r="R264" s="9"/>
      <c r="DS264" s="10"/>
    </row>
    <row r="265" spans="8:201">
      <c r="H265" s="17"/>
      <c r="R265" s="9"/>
      <c r="DS265" s="10"/>
    </row>
    <row r="266" spans="8:201">
      <c r="H266" s="17"/>
      <c r="R266" s="9"/>
      <c r="DS266" s="10"/>
    </row>
    <row r="267" spans="8:201">
      <c r="H267" s="17"/>
      <c r="R267" s="9"/>
      <c r="DS267" s="10"/>
    </row>
    <row r="268" spans="8:201">
      <c r="H268" s="17"/>
      <c r="R268" s="9"/>
      <c r="DS268" s="10"/>
    </row>
    <row r="269" spans="8:201">
      <c r="H269" s="17"/>
      <c r="R269" s="9"/>
      <c r="DS269" s="10"/>
    </row>
    <row r="270" spans="8:201">
      <c r="H270" s="17"/>
      <c r="R270" s="9"/>
      <c r="DS270" s="10"/>
    </row>
    <row r="271" spans="8:201">
      <c r="H271" s="17"/>
      <c r="R271" s="9"/>
      <c r="DS27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feb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Rahima Akter</dc:creator>
  <cp:lastModifiedBy>Rahima Akter</cp:lastModifiedBy>
  <dcterms:created xsi:type="dcterms:W3CDTF">2026-02-21T08:45:12Z</dcterms:created>
  <dcterms:modified xsi:type="dcterms:W3CDTF">2026-02-21T08:45:30Z</dcterms:modified>
</cp:coreProperties>
</file>